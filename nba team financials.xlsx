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andon/Desktop/"/>
    </mc:Choice>
  </mc:AlternateContent>
  <xr:revisionPtr revIDLastSave="0" documentId="8_{D465D3B1-B685-1849-AFF3-2CBE8D2FBC46}" xr6:coauthVersionLast="47" xr6:coauthVersionMax="47" xr10:uidLastSave="{00000000-0000-0000-0000-000000000000}"/>
  <bookViews>
    <workbookView xWindow="0" yWindow="660" windowWidth="30240" windowHeight="18980" xr2:uid="{060D5569-2AC9-B04F-841D-CEA7829076CD}"/>
  </bookViews>
  <sheets>
    <sheet name="nba_team_financials" sheetId="1" r:id="rId1"/>
    <sheet name="Calculations" sheetId="2" r:id="rId2"/>
    <sheet name="Rankings" sheetId="3" r:id="rId3"/>
    <sheet name="Dashboar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6" l="1"/>
  <c r="E9" i="6"/>
  <c r="E10" i="6"/>
  <c r="E11" i="6"/>
  <c r="E12" i="6"/>
  <c r="E8" i="6"/>
  <c r="D9" i="6"/>
  <c r="D10" i="6"/>
  <c r="D11" i="6"/>
  <c r="D12" i="6"/>
  <c r="D8" i="6"/>
  <c r="C9" i="6"/>
  <c r="C10" i="6"/>
  <c r="C11" i="6"/>
  <c r="C12" i="6"/>
  <c r="C8" i="6"/>
  <c r="M9" i="6"/>
  <c r="M10" i="6"/>
  <c r="M11" i="6"/>
  <c r="M12" i="6"/>
  <c r="M8" i="6"/>
  <c r="L9" i="6"/>
  <c r="L10" i="6"/>
  <c r="L11" i="6"/>
  <c r="L12" i="6"/>
  <c r="L8" i="6"/>
  <c r="K9" i="6"/>
  <c r="K10" i="6"/>
  <c r="K11" i="6"/>
  <c r="K12" i="6"/>
  <c r="K8" i="6"/>
  <c r="R3" i="6"/>
  <c r="E17" i="2"/>
  <c r="E18" i="2"/>
  <c r="A35" i="2"/>
  <c r="A7" i="3" s="1"/>
  <c r="A36" i="2"/>
  <c r="A4" i="3" s="1"/>
  <c r="A37" i="2"/>
  <c r="A18" i="3" s="1"/>
  <c r="A38" i="2"/>
  <c r="A20" i="3" s="1"/>
  <c r="A39" i="2"/>
  <c r="A19" i="3" s="1"/>
  <c r="A40" i="2"/>
  <c r="A16" i="3" s="1"/>
  <c r="A41" i="2"/>
  <c r="A22" i="3" s="1"/>
  <c r="A42" i="2"/>
  <c r="A12" i="3" s="1"/>
  <c r="A43" i="2"/>
  <c r="A14" i="3" s="1"/>
  <c r="A44" i="2"/>
  <c r="A11" i="3" s="1"/>
  <c r="A45" i="2"/>
  <c r="A6" i="3" s="1"/>
  <c r="A46" i="2"/>
  <c r="A28" i="3" s="1"/>
  <c r="A47" i="2"/>
  <c r="A10" i="3" s="1"/>
  <c r="A48" i="2"/>
  <c r="A2" i="3" s="1"/>
  <c r="A49" i="2"/>
  <c r="A26" i="3" s="1"/>
  <c r="A50" i="2"/>
  <c r="A17" i="3" s="1"/>
  <c r="A51" i="2"/>
  <c r="A21" i="3" s="1"/>
  <c r="A52" i="2"/>
  <c r="A27" i="3" s="1"/>
  <c r="A53" i="2"/>
  <c r="A30" i="3" s="1"/>
  <c r="A54" i="2"/>
  <c r="A3" i="3" s="1"/>
  <c r="A55" i="2"/>
  <c r="A8" i="3" s="1"/>
  <c r="A56" i="2"/>
  <c r="A23" i="3" s="1"/>
  <c r="A57" i="2"/>
  <c r="A9" i="3" s="1"/>
  <c r="A58" i="2"/>
  <c r="A13" i="3" s="1"/>
  <c r="A59" i="2"/>
  <c r="A24" i="3" s="1"/>
  <c r="A60" i="2"/>
  <c r="A29" i="3" s="1"/>
  <c r="A61" i="2"/>
  <c r="A5" i="3" s="1"/>
  <c r="A62" i="2"/>
  <c r="A15" i="3" s="1"/>
  <c r="A63" i="2"/>
  <c r="A25" i="3" s="1"/>
  <c r="A64" i="2"/>
  <c r="A31" i="3" s="1"/>
  <c r="E2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9" i="2"/>
  <c r="E20" i="2"/>
  <c r="E21" i="2"/>
  <c r="E22" i="2"/>
  <c r="E23" i="2"/>
  <c r="E24" i="2"/>
  <c r="E25" i="2"/>
  <c r="E26" i="2"/>
  <c r="E28" i="2"/>
  <c r="E29" i="2"/>
  <c r="E30" i="2"/>
  <c r="E31" i="2"/>
  <c r="E2" i="2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N5" i="6" l="1"/>
  <c r="N3" i="6"/>
  <c r="C51" i="2"/>
  <c r="C63" i="2"/>
  <c r="C59" i="2"/>
  <c r="C47" i="2"/>
  <c r="C43" i="2"/>
  <c r="E54" i="2"/>
  <c r="D3" i="3" s="1"/>
  <c r="D62" i="2"/>
  <c r="D46" i="2"/>
  <c r="C55" i="2"/>
  <c r="B51" i="2"/>
  <c r="B43" i="2"/>
  <c r="B35" i="2"/>
  <c r="D58" i="2"/>
  <c r="D50" i="2"/>
  <c r="D42" i="2"/>
  <c r="D38" i="2"/>
  <c r="B64" i="2"/>
  <c r="B60" i="2"/>
  <c r="B56" i="2"/>
  <c r="B52" i="2"/>
  <c r="B48" i="2"/>
  <c r="B44" i="2"/>
  <c r="B40" i="2"/>
  <c r="B36" i="2"/>
  <c r="E56" i="2"/>
  <c r="E44" i="2"/>
  <c r="D11" i="3" s="1"/>
  <c r="D59" i="2"/>
  <c r="D51" i="2"/>
  <c r="D47" i="2"/>
  <c r="D43" i="2"/>
  <c r="D39" i="2"/>
  <c r="D35" i="2"/>
  <c r="E55" i="2"/>
  <c r="D8" i="3" s="1"/>
  <c r="E43" i="2"/>
  <c r="D14" i="3" s="1"/>
  <c r="E49" i="2"/>
  <c r="D26" i="3" s="1"/>
  <c r="C35" i="2"/>
  <c r="B47" i="2"/>
  <c r="B39" i="2"/>
  <c r="E53" i="2"/>
  <c r="E41" i="2"/>
  <c r="D22" i="3" s="1"/>
  <c r="E35" i="2"/>
  <c r="E40" i="2"/>
  <c r="D16" i="3" s="1"/>
  <c r="B37" i="2"/>
  <c r="C62" i="2"/>
  <c r="C46" i="2"/>
  <c r="C38" i="2"/>
  <c r="E64" i="2"/>
  <c r="D31" i="3" s="1"/>
  <c r="E51" i="2"/>
  <c r="D21" i="3" s="1"/>
  <c r="B58" i="2"/>
  <c r="E50" i="2"/>
  <c r="D17" i="3" s="1"/>
  <c r="D53" i="2"/>
  <c r="E37" i="2"/>
  <c r="D18" i="3" s="1"/>
  <c r="C61" i="2"/>
  <c r="C57" i="2"/>
  <c r="C53" i="2"/>
  <c r="C41" i="2"/>
  <c r="C37" i="2"/>
  <c r="E61" i="2"/>
  <c r="D5" i="3" s="1"/>
  <c r="E48" i="2"/>
  <c r="D2" i="3" s="1"/>
  <c r="E36" i="2"/>
  <c r="D4" i="3" s="1"/>
  <c r="B61" i="2"/>
  <c r="B57" i="2"/>
  <c r="B53" i="2"/>
  <c r="B49" i="2"/>
  <c r="B45" i="2"/>
  <c r="B41" i="2"/>
  <c r="E59" i="2"/>
  <c r="D24" i="3" s="1"/>
  <c r="E60" i="2"/>
  <c r="D29" i="3" s="1"/>
  <c r="C39" i="2"/>
  <c r="B59" i="2"/>
  <c r="C54" i="2"/>
  <c r="E63" i="2"/>
  <c r="D25" i="3" s="1"/>
  <c r="D36" i="2"/>
  <c r="B62" i="2"/>
  <c r="B54" i="2"/>
  <c r="B50" i="2"/>
  <c r="B46" i="2"/>
  <c r="B42" i="2"/>
  <c r="B38" i="2"/>
  <c r="E38" i="2"/>
  <c r="D20" i="3" s="1"/>
  <c r="D61" i="2"/>
  <c r="D49" i="2"/>
  <c r="D45" i="2"/>
  <c r="D37" i="2"/>
  <c r="D64" i="2"/>
  <c r="D60" i="2"/>
  <c r="D56" i="2"/>
  <c r="D52" i="2"/>
  <c r="D48" i="2"/>
  <c r="D44" i="2"/>
  <c r="D40" i="2"/>
  <c r="D55" i="2"/>
  <c r="E58" i="2"/>
  <c r="D13" i="3" s="1"/>
  <c r="E46" i="2"/>
  <c r="D28" i="3" s="1"/>
  <c r="C64" i="2"/>
  <c r="C60" i="2"/>
  <c r="C56" i="2"/>
  <c r="C48" i="2"/>
  <c r="C40" i="2"/>
  <c r="C36" i="2"/>
  <c r="E57" i="2"/>
  <c r="D9" i="3" s="1"/>
  <c r="E45" i="2"/>
  <c r="D6" i="3" s="1"/>
  <c r="D54" i="2"/>
  <c r="C49" i="2"/>
  <c r="C44" i="2"/>
  <c r="D57" i="2"/>
  <c r="E42" i="2"/>
  <c r="D12" i="3" s="1"/>
  <c r="E62" i="2"/>
  <c r="D15" i="3" s="1"/>
  <c r="D41" i="2"/>
  <c r="D63" i="2"/>
  <c r="C58" i="2"/>
  <c r="E52" i="2"/>
  <c r="D27" i="3" s="1"/>
  <c r="C50" i="2"/>
  <c r="E47" i="2"/>
  <c r="C45" i="2"/>
  <c r="C42" i="2"/>
  <c r="E39" i="2"/>
  <c r="B63" i="2"/>
  <c r="B55" i="2"/>
  <c r="C52" i="2"/>
  <c r="D23" i="3"/>
  <c r="J3" i="6" l="1"/>
  <c r="F3" i="6"/>
  <c r="F60" i="2"/>
  <c r="F46" i="2"/>
  <c r="F61" i="2"/>
  <c r="F47" i="2"/>
  <c r="F51" i="2"/>
  <c r="F38" i="2"/>
  <c r="F36" i="2"/>
  <c r="F40" i="2"/>
  <c r="B16" i="3" s="1"/>
  <c r="F48" i="2"/>
  <c r="B2" i="3" s="1"/>
  <c r="F50" i="2"/>
  <c r="F55" i="2"/>
  <c r="F41" i="2"/>
  <c r="B22" i="3" s="1"/>
  <c r="F62" i="2"/>
  <c r="F35" i="2"/>
  <c r="B7" i="3" s="1"/>
  <c r="F58" i="2"/>
  <c r="F59" i="2"/>
  <c r="F53" i="2"/>
  <c r="B30" i="3" s="1"/>
  <c r="F56" i="2"/>
  <c r="F64" i="2"/>
  <c r="F57" i="2"/>
  <c r="F63" i="2"/>
  <c r="F39" i="2"/>
  <c r="F44" i="2"/>
  <c r="B11" i="3" s="1"/>
  <c r="F52" i="2"/>
  <c r="F42" i="2"/>
  <c r="F49" i="2"/>
  <c r="F43" i="2"/>
  <c r="F45" i="2"/>
  <c r="B6" i="3" s="1"/>
  <c r="F54" i="2"/>
  <c r="F37" i="2"/>
  <c r="D19" i="3"/>
  <c r="D10" i="3"/>
  <c r="B4" i="3"/>
  <c r="D30" i="3"/>
  <c r="D7" i="3"/>
  <c r="G42" i="2" l="1"/>
  <c r="C12" i="3" s="1"/>
  <c r="G50" i="2"/>
  <c r="G38" i="2"/>
  <c r="C20" i="3" s="1"/>
  <c r="G41" i="2"/>
  <c r="C22" i="3" s="1"/>
  <c r="G62" i="2"/>
  <c r="C15" i="3" s="1"/>
  <c r="G58" i="2"/>
  <c r="C13" i="3" s="1"/>
  <c r="G48" i="2"/>
  <c r="C2" i="3" s="1"/>
  <c r="G51" i="2"/>
  <c r="C21" i="3" s="1"/>
  <c r="G52" i="2"/>
  <c r="C27" i="3" s="1"/>
  <c r="G59" i="2"/>
  <c r="C24" i="3" s="1"/>
  <c r="G60" i="2"/>
  <c r="C29" i="3" s="1"/>
  <c r="G47" i="2"/>
  <c r="C10" i="3" s="1"/>
  <c r="G44" i="2"/>
  <c r="C11" i="3" s="1"/>
  <c r="G64" i="2"/>
  <c r="C31" i="3" s="1"/>
  <c r="G56" i="2"/>
  <c r="C23" i="3" s="1"/>
  <c r="G43" i="2"/>
  <c r="C14" i="3" s="1"/>
  <c r="G46" i="2"/>
  <c r="C28" i="3" s="1"/>
  <c r="G39" i="2"/>
  <c r="C19" i="3" s="1"/>
  <c r="G54" i="2"/>
  <c r="C3" i="3" s="1"/>
  <c r="G35" i="2"/>
  <c r="C7" i="3" s="1"/>
  <c r="G36" i="2"/>
  <c r="C4" i="3" s="1"/>
  <c r="G57" i="2"/>
  <c r="C9" i="3" s="1"/>
  <c r="G49" i="2"/>
  <c r="C26" i="3" s="1"/>
  <c r="G40" i="2"/>
  <c r="C16" i="3" s="1"/>
  <c r="G45" i="2"/>
  <c r="C6" i="3" s="1"/>
  <c r="G37" i="2"/>
  <c r="C18" i="3" s="1"/>
  <c r="G61" i="2"/>
  <c r="C5" i="3" s="1"/>
  <c r="G55" i="2"/>
  <c r="C8" i="3" s="1"/>
  <c r="G63" i="2"/>
  <c r="C25" i="3" s="1"/>
  <c r="G53" i="2"/>
  <c r="C30" i="3" s="1"/>
  <c r="B31" i="3"/>
  <c r="C17" i="3"/>
  <c r="B20" i="3"/>
  <c r="B21" i="3"/>
  <c r="B13" i="3"/>
  <c r="B3" i="3"/>
  <c r="B17" i="3"/>
  <c r="B24" i="3"/>
  <c r="B19" i="3"/>
  <c r="B29" i="3"/>
  <c r="B28" i="3"/>
  <c r="B27" i="3"/>
  <c r="B10" i="3"/>
  <c r="B8" i="3"/>
  <c r="B25" i="3"/>
  <c r="B15" i="3"/>
  <c r="B18" i="3"/>
  <c r="B14" i="3"/>
  <c r="B23" i="3"/>
  <c r="B12" i="3"/>
  <c r="B5" i="3"/>
  <c r="B26" i="3"/>
  <c r="B9" i="3"/>
</calcChain>
</file>

<file path=xl/sharedStrings.xml><?xml version="1.0" encoding="utf-8"?>
<sst xmlns="http://schemas.openxmlformats.org/spreadsheetml/2006/main" count="202" uniqueCount="95">
  <si>
    <t>2025-26 NBA Season</t>
  </si>
  <si>
    <t>Team</t>
  </si>
  <si>
    <t>Payroll</t>
  </si>
  <si>
    <t>Revenue</t>
  </si>
  <si>
    <t>Win %</t>
  </si>
  <si>
    <t>Playoff Result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</si>
  <si>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</si>
  <si>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</si>
  <si>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</si>
  <si>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</si>
  <si>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</si>
  <si>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</si>
  <si>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</si>
  <si>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</si>
  <si>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</si>
  <si>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</si>
  <si>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</si>
  <si>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</si>
  <si>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</si>
  <si>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</si>
  <si>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</si>
  <si>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</si>
  <si>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</si>
  <si>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</si>
  <si>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</si>
  <si>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</si>
  <si>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</si>
  <si>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</si>
  <si>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</si>
  <si>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</si>
  <si>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</si>
  <si>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</si>
  <si>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</si>
  <si>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</si>
  <si>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</si>
  <si>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</si>
  <si>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First Round</t>
  </si>
  <si>
    <t>Missed Playoffs</t>
  </si>
  <si>
    <t>Conference Finals</t>
  </si>
  <si>
    <t>Conference Semifinals</t>
  </si>
  <si>
    <t>NBA Champion</t>
  </si>
  <si>
    <t>NBA Finals (Runner-Up)</t>
  </si>
  <si>
    <t>Valuation ($B)</t>
  </si>
  <si>
    <t>Losses</t>
  </si>
  <si>
    <t>Revenue Per Win</t>
  </si>
  <si>
    <t>Revenue-To-Payroll</t>
  </si>
  <si>
    <t>Wins Per $1M Payroll</t>
  </si>
  <si>
    <t>Metric</t>
  </si>
  <si>
    <t>What It Measures</t>
  </si>
  <si>
    <t>Revenue generated for each win</t>
  </si>
  <si>
    <t>Lower</t>
  </si>
  <si>
    <t>Higher</t>
  </si>
  <si>
    <t>Wins generated per $1M of payroll</t>
  </si>
  <si>
    <t>Revenue generated for every $1 of payroll</t>
  </si>
  <si>
    <t>Better Direction</t>
  </si>
  <si>
    <t>Revenue/Win Rank</t>
  </si>
  <si>
    <t>Wins/$1M Rank</t>
  </si>
  <si>
    <t>Rev-to-Payroll Rank</t>
  </si>
  <si>
    <t>Overall Score</t>
  </si>
  <si>
    <t>Overall Rank</t>
  </si>
  <si>
    <t>Team's overall efficiency rank vs. the league</t>
  </si>
  <si>
    <t>Weight</t>
  </si>
  <si>
    <t>Win % Rank</t>
  </si>
  <si>
    <t>Team's win percentage rank vs. the league</t>
  </si>
  <si>
    <t>N/A</t>
  </si>
  <si>
    <t>Data Sources</t>
  </si>
  <si>
    <t>Payroll (Total Cap Allocation)</t>
  </si>
  <si>
    <t>Valuation</t>
  </si>
  <si>
    <t>Win/Loss  Record</t>
  </si>
  <si>
    <t>Spotrac</t>
  </si>
  <si>
    <t>Forbes</t>
  </si>
  <si>
    <t>ESPN</t>
  </si>
  <si>
    <t>Weighted average of the four rank columns above</t>
  </si>
  <si>
    <t>TOP OVERALL TEAM</t>
  </si>
  <si>
    <t>BEST PAYROLL EFFICIENCY</t>
  </si>
  <si>
    <t>BEST REVENUE-TO-PAYROLL</t>
  </si>
  <si>
    <t>HIGHEST WIN %</t>
  </si>
  <si>
    <t>AVERAGE PAYROLL</t>
  </si>
  <si>
    <t>Wins</t>
  </si>
  <si>
    <t>NBA Financial &amp; Performance Analysis (2025-26 Season)</t>
  </si>
  <si>
    <t>Rank</t>
  </si>
  <si>
    <t>Top 5 Efficient Teams</t>
  </si>
  <si>
    <t>Bottom 5 Efficient Teams</t>
  </si>
  <si>
    <t>Key Strength</t>
  </si>
  <si>
    <t>Primary Drag</t>
  </si>
  <si>
    <t>Top-8 ranks across all 4 metrics</t>
  </si>
  <si>
    <t>$2.54 revenue per $1 payroll</t>
  </si>
  <si>
    <t>56 wins on mid-tier payroll (#18)</t>
  </si>
  <si>
    <t>#2 in Wins/$1M payroll ($184.0M spend)</t>
  </si>
  <si>
    <t>52 wins paired with top-10 revenue</t>
  </si>
  <si>
    <t>#3 spend ($228.8M), #30 Rev/Payroll</t>
  </si>
  <si>
    <t>19–63 record (#29 in Wins/$1M)</t>
  </si>
  <si>
    <t>$213.9M spend returning only 22 wins</t>
  </si>
  <si>
    <t>$207.5M spend paired with #30 revenue</t>
  </si>
  <si>
    <t>#2 spend ($232.0M), league-worst 17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</si>
</sst>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164" formatCode="&quot;$&quot;#,##0"/>
    <numFmt numFmtId="165" formatCode="0.00\x"/>
    <numFmt numFmtId="166" formatCode="&quot;$&quot;0.00,,&quot;M&quot;"/>
    <numFmt numFmtId="167" formatCode="0.0"/>
    <numFmt numFmtId="168" formatCode="0.0%"/>
    <numFmt numFmtId="169" formatCode="&quot;$&quot;0.0&quot;M&quot;"/>
  </numFmts>
  <fonts count="15" x14ac:knownFonts="1"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rgb="FF333333"/>
      <name val="Calibri"/>
      <family val="2"/>
    </font>
    <font>
      <sz val="11"/>
      <color theme="0"/>
      <name val="Calibri"/>
      <family val="2"/>
    </font>
    <font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7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wrapText="1" shrinkToFit="1"/>
    </xf>
    <xf numFmtId="0" fontId="12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0" fontId="10" fillId="0" borderId="15" xfId="0" applyNumberFormat="1" applyFont="1" applyBorder="1" applyAlignment="1">
      <alignment horizontal="center" vertical="center"/>
    </xf>
    <xf numFmtId="10" fontId="10" fillId="0" borderId="16" xfId="0" applyNumberFormat="1" applyFont="1" applyBorder="1" applyAlignment="1">
      <alignment horizontal="center" vertical="center"/>
    </xf>
    <xf numFmtId="10" fontId="10" fillId="0" borderId="17" xfId="0" applyNumberFormat="1" applyFont="1" applyBorder="1" applyAlignment="1">
      <alignment horizontal="center" vertical="center"/>
    </xf>
    <xf numFmtId="169" fontId="6" fillId="0" borderId="9" xfId="0" applyNumberFormat="1" applyFont="1" applyBorder="1" applyAlignment="1">
      <alignment horizontal="center" vertical="center"/>
    </xf>
    <xf numFmtId="169" fontId="6" fillId="0" borderId="10" xfId="0" applyNumberFormat="1" applyFont="1" applyBorder="1" applyAlignment="1">
      <alignment horizontal="center" vertical="center"/>
    </xf>
    <xf numFmtId="169" fontId="6" fillId="0" borderId="11" xfId="0" applyNumberFormat="1" applyFont="1" applyBorder="1" applyAlignment="1">
      <alignment horizontal="center" vertical="center"/>
    </xf>
    <xf numFmtId="169" fontId="6" fillId="0" borderId="12" xfId="0" applyNumberFormat="1" applyFont="1" applyBorder="1" applyAlignment="1">
      <alignment horizontal="center" vertical="center"/>
    </xf>
    <xf numFmtId="169" fontId="6" fillId="0" borderId="13" xfId="0" applyNumberFormat="1" applyFont="1" applyBorder="1" applyAlignment="1">
      <alignment horizontal="center" vertical="center"/>
    </xf>
    <xf numFmtId="169" fontId="6" fillId="0" borderId="14" xfId="0" applyNumberFormat="1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5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wrapText="1" shrinkToFit="1"/>
    </xf>
    <xf numFmtId="0" fontId="11" fillId="0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i val="0"/>
      </font>
    </dxf>
    <dxf>
      <font>
        <b/>
        <i val="0"/>
        <color rgb="FF1F4E79"/>
      </font>
    </dxf>
    <dxf>
      <font>
        <b/>
        <i val="0"/>
      </font>
    </dxf>
  </dxfs>
  <tableStyles count="0" defaultTableStyle="TableStyleMedium2" defaultPivotStyle="PivotStyleLight16"/>
  <colors>
    <mruColors>
      <color rgb="FF1F4E79"/>
      <color rgb="FFF2F2F2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 sz="1400" b="1" i="0" u="none" strike="noStrike" baseline="0"/>
              <a:t>Top 10 Teams by Overall Score | 2025-26</a:t>
            </a:r>
            <a:endParaRPr lang="en-US" b="1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Rankings!$B$1</c:f>
              <c:strCache>
                <c:ptCount val="1"/>
                <c:pt idx="0">
                  <c:v>Overall Score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Rankings!$A$2:$A$11</c:f>
              <c:strCache>
                <c:ptCount val="10"/>
                <c:pt idx="0">
                  <c:v>Los Angeles Lakers</c:v>
                </c:pt>
                <c:pt idx="1">
                  <c:v>New York Knicks</c:v>
                </c:pt>
                <c:pt idx="2">
                  <c:v>Boston Celtics</c:v>
                </c:pt>
                <c:pt idx="3">
                  <c:v>San Antonio Spurs</c:v>
                </c:pt>
                <c:pt idx="4">
                  <c:v>Houston Rockets</c:v>
                </c:pt>
                <c:pt idx="5">
                  <c:v>Atlanta Hawks</c:v>
                </c:pt>
                <c:pt idx="6">
                  <c:v>Oklahoma City Thunder</c:v>
                </c:pt>
                <c:pt idx="7">
                  <c:v>Philadelphia 76ers</c:v>
                </c:pt>
                <c:pt idx="8">
                  <c:v>Los Angeles Clippers</c:v>
                </c:pt>
                <c:pt idx="9">
                  <c:v>Golden State Warriors</c:v>
                </c:pt>
              </c:strCache>
            </c:strRef>
          </c:cat>
          <c:val>
            <c:numRef>
              <c:f>Rankings!$B$2:$B$11</c:f>
              <c:numCache>
                <c:formatCode>0.00</c:formatCode>
                <c:ptCount val="10"/>
                <c:pt idx="0">
                  <c:v>7.1999999999999993</c:v>
                </c:pt>
                <c:pt idx="1">
                  <c:v>7.65</c:v>
                </c:pt>
                <c:pt idx="2">
                  <c:v>8.0499999999999989</c:v>
                </c:pt>
                <c:pt idx="3">
                  <c:v>8.8999999999999986</c:v>
                </c:pt>
                <c:pt idx="4">
                  <c:v>9.35</c:v>
                </c:pt>
                <c:pt idx="5">
                  <c:v>9.8000000000000007</c:v>
                </c:pt>
                <c:pt idx="6">
                  <c:v>10.899999999999999</c:v>
                </c:pt>
                <c:pt idx="7">
                  <c:v>11.5</c:v>
                </c:pt>
                <c:pt idx="8">
                  <c:v>12.149999999999999</c:v>
                </c:pt>
                <c:pt idx="9">
                  <c:v>12.35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C-9242-B0C2-ECCF23E1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579520"/>
        <c:axId val="63470016"/>
      </c:barChart>
      <c:catAx>
        <c:axId val="2915795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63470016"/>
        <c:crosses val="autoZero"/>
        <c:auto val="1"/>
        <c:lblAlgn val="ctr"/>
        <c:lblOffset val="100"/>
        <c:noMultiLvlLbl val="0"/>
      </c:catAx>
      <c:valAx>
        <c:axId val="634700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291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Wins vs. Payroll | Selected Teams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381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8DDE85-15C9-0E4F-9367-9D9861A6743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&quot;$&quot;0.0,,\ 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B2C-1448-9111-BC89B26523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E722F0-2037-0042-83B7-AD285697A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B2C-1448-9111-BC89B26523ED}"/>
                </c:ext>
              </c:extLst>
            </c:dLbl>
            <c:dLbl>
              <c:idx val="2"/>
              <c:layout>
                <c:manualLayout>
                  <c:x val="1.8182979185213544E-3"/>
                  <c:y val="1.3380815913688449E-2"/>
                </c:manualLayout>
              </c:layout>
              <c:tx>
                <c:rich>
                  <a:bodyPr/>
                  <a:lstStyle/>
                  <a:p>
                    <a:fld id="{F9C6B634-9FC7-654E-A599-BEF255F27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B2C-1448-9111-BC89B26523ED}"/>
                </c:ext>
              </c:extLst>
            </c:dLbl>
            <c:dLbl>
              <c:idx val="3"/>
              <c:layout>
                <c:manualLayout>
                  <c:x val="2.7738857224607204E-3"/>
                  <c:y val="3.8674551219311732E-3"/>
                </c:manualLayout>
              </c:layout>
              <c:tx>
                <c:rich>
                  <a:bodyPr/>
                  <a:lstStyle/>
                  <a:p>
                    <a:fld id="{D2DBB18D-FEF5-794C-9AF1-84F4CA270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B2C-1448-9111-BC89B26523E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C94484-431C-B64B-A1EF-67225ECB4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B2C-1448-9111-BC89B26523ED}"/>
                </c:ext>
              </c:extLst>
            </c:dLbl>
            <c:numFmt formatCode="&quot;$&quot;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(nba_team_financials!$A$11,nba_team_financials!$A$12,nba_team_financials!$A$23,nba_team_financials!$A$29,nba_team_financials!$A$32)</c:f>
              <c:strCache>
                <c:ptCount val="5"/>
                <c:pt idx="0">
                  <c:v>Detroit Pistons</c:v>
                </c:pt>
                <c:pt idx="1">
                  <c:v>Golden State Warriors</c:v>
                </c:pt>
                <c:pt idx="2">
                  <c:v>Oklahoma City Thunder</c:v>
                </c:pt>
                <c:pt idx="3">
                  <c:v>San Antonio Spurs</c:v>
                </c:pt>
                <c:pt idx="4">
                  <c:v>Washington Wizards</c:v>
                </c:pt>
              </c:strCache>
            </c:strRef>
          </c:cat>
          <c:val>
            <c:numRef>
              <c:f>(nba_team_financials!$E$11,nba_team_financials!$E$12,nba_team_financials!$E$23,nba_team_financials!$E$29,nba_team_financials!$E$32)</c:f>
              <c:numCache>
                <c:formatCode>General</c:formatCode>
                <c:ptCount val="5"/>
                <c:pt idx="0">
                  <c:v>60</c:v>
                </c:pt>
                <c:pt idx="1">
                  <c:v>37</c:v>
                </c:pt>
                <c:pt idx="2">
                  <c:v>64</c:v>
                </c:pt>
                <c:pt idx="3">
                  <c:v>62</c:v>
                </c:pt>
                <c:pt idx="4">
                  <c:v>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(nba_team_financials!$B$11,nba_team_financials!$B$12,nba_team_financials!$B$23,nba_team_financials!$B$29,nba_team_financials!$B$32)</c15:f>
                <c15:dlblRangeCache>
                  <c:ptCount val="5"/>
                  <c:pt idx="0">
                    <c:v>$193,082,507 </c:v>
                  </c:pt>
                  <c:pt idx="1">
                    <c:v>$234,222,725 </c:v>
                  </c:pt>
                  <c:pt idx="2">
                    <c:v>$188,057,857 </c:v>
                  </c:pt>
                  <c:pt idx="3">
                    <c:v>$183,990,669 </c:v>
                  </c:pt>
                  <c:pt idx="4">
                    <c:v>$232,033,397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B2C-1448-9111-BC89B2652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054254272"/>
        <c:axId val="1137136000"/>
      </c:barChart>
      <c:catAx>
        <c:axId val="1054254272"/>
        <c:scaling>
          <c:orientation val="minMax"/>
        </c:scaling>
        <c:delete val="0"/>
        <c:axPos val="b"/>
        <c:numFmt formatCode="&quot;$&quot;0.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6000"/>
        <c:crosses val="autoZero"/>
        <c:auto val="1"/>
        <c:lblAlgn val="ctr"/>
        <c:lblOffset val="100"/>
        <c:noMultiLvlLbl val="0"/>
      </c:catAx>
      <c:valAx>
        <c:axId val="11371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25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744003</xdr:colOff>
      <xdr:row>15</xdr:row>
      <xdr:rowOff>28727</xdr:rowOff>
    </xdr:from>
    <xdr:to>
      <xdr:col>7</xdr:col>
      <xdr:colOff>787401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5071B-3297-0F44-B8FC-8D8D08718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190947</xdr:colOff>
      <xdr:row>14</xdr:row>
      <xdr:rowOff>149841</xdr:rowOff>
    </xdr:from>
    <xdr:to>
      <xdr:col>15</xdr:col>
      <xdr:colOff>736601</xdr:colOff>
      <xdr:row>29</xdr:row>
      <xdr:rowOff>139701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FCEC77-AF8F-214F-ADD4-8D1549AF6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0</xdr:colOff>
      <xdr:row>32</xdr:row>
      <xdr:rowOff>0</xdr:rowOff>
    </xdr:from>
    <xdr:ext cx="184731" cy="2644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7921D-8372-7117-CCB1-322108EC72F9}"/>
            </a:ext>
          </a:extLst>
        </xdr:cNvPr>
        <xdr:cNvSpPr txBox="1"/>
      </xdr:nvSpPr>
      <xdr:spPr>
        <a:xfrm>
          <a:off x="14516100" y="6096000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225280" cy="135127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5E4BC7-CA35-3280-9D19-9726D8E5AA19}"/>
            </a:ext>
          </a:extLst>
        </xdr:cNvPr>
        <xdr:cNvSpPr txBox="1"/>
      </xdr:nvSpPr>
      <xdr:spPr>
        <a:xfrm>
          <a:off x="1148080" y="5984240"/>
          <a:ext cx="9225280" cy="13512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762001</xdr:colOff>
      <xdr:row>30</xdr:row>
      <xdr:rowOff>118534</xdr:rowOff>
    </xdr:from>
    <xdr:to>
      <xdr:col>15</xdr:col>
      <xdr:colOff>558801</xdr:colOff>
      <xdr:row>40</xdr:row>
      <xdr:rowOff>84667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890FD3-A6C2-2BE5-B6C3-3A397E790AC3}"/>
            </a:ext>
          </a:extLst>
        </xdr:cNvPr>
        <xdr:cNvSpPr txBox="1"/>
      </xdr:nvSpPr>
      <xdr:spPr>
        <a:xfrm>
          <a:off x="762001" y="5723467"/>
          <a:ext cx="169672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buNone/>
          </a:pPr>
          <a:r>
            <a:rPr lang="en-US" b="1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Insights &amp; Key Findings</a:t>
          </a:r>
        </a:p>
        <a:p>
          <a:pPr algn="l">
            <a:buFont typeface="Arial" panose="020B0604020202020204" pitchFamily="34" charset="0"/>
            <a:buChar char="•"/>
          </a:pPr>
          <a:r>
            <a:rPr lang="en-US" b="1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The Golden State Paradox (Business vs. On-Court Efficiency):</a:t>
          </a:r>
          <a:endParaRPr lang="en-US" b="0" i="0">
            <a:solidFill>
              <a:srgbClr val="000000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US" b="0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Golden State ranked #1 in financial efficiency due to league-leading revenue generation ($880M), but posted only a 45.1% win percentage on a $234.2M payroll (#1 spending in the NBA). Excellent revenue leverage did not translate to winning games, directly justifying why the scoring model weights competitive performance (25%) alongside financial metrics.</a:t>
          </a:r>
        </a:p>
        <a:p>
          <a:pPr algn="l">
            <a:buFont typeface="Arial" panose="020B0604020202020204" pitchFamily="34" charset="0"/>
            <a:buChar char="•"/>
          </a:pPr>
          <a:r>
            <a:rPr lang="en-US" b="1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Spending Does Not Guarantee Results (Capital Misallocation):</a:t>
          </a:r>
          <a:endParaRPr lang="en-US" b="0" i="0">
            <a:solidFill>
              <a:srgbClr val="000000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US" b="0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The Washington Wizards committed $232.0M in payroll (#2 in NBA spending) but finished dead last (#30 Overall) with a league-worst 17 wins. Conversely, the San Antonio Spurs maintained a low payroll ($184.0M, #25 in spending) while securing #4 Overall Efficiency and 62 wins (#2 Win %), proving disciplined roster construction creates superior value over raw capital deployment.</a:t>
          </a:r>
        </a:p>
        <a:p>
          <a:pPr algn="l">
            <a:buFont typeface="Arial" panose="020B0604020202020204" pitchFamily="34" charset="0"/>
            <a:buChar char="•"/>
          </a:pPr>
          <a:r>
            <a:rPr lang="en-US" b="1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Oklahoma City Thunder: The Model Franchise:</a:t>
          </a:r>
          <a:endParaRPr lang="en-US" b="0" i="0">
            <a:solidFill>
              <a:srgbClr val="000000"/>
            </a:solidFill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>
            <a:buFont typeface="Arial" panose="020B0604020202020204" pitchFamily="34" charset="0"/>
            <a:buChar char="•"/>
          </a:pPr>
          <a:r>
            <a:rPr lang="en-US" b="0" i="0">
              <a:solidFill>
                <a:srgbClr val="000000"/>
              </a:solidFill>
              <a:effectLst/>
              <a:latin typeface="Calibri" panose="020F0502020204030204" pitchFamily="34" charset="0"/>
              <a:cs typeface="Calibri" panose="020F0502020204030204" pitchFamily="34" charset="0"/>
            </a:rPr>
            <a:t>OKC posted the league's top winning percentage (78.0% / 64–18 record) while simultaneously ranking #1 in Wins per $1M Payroll (0.340). They represent the purest example in the dataset of financial discipline translating directly into elite competitive output.</a:t>
          </a:r>
        </a:p>
        <a:p>
          <a:endParaRPr lang="en-US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F53A-958B-6F46-A2A4-231F99272EF4}">
  <sheetPr>
    <tabColor rgb="FF1F4E79"/>
  </sheetPr>
  <dimension ref="A1:P32"/>
  <sheetViews>
    <sheetView tabSelected="1" zoomScale="90" zoomScaleNormal="89" workbookViewId="0">
      <pane ySplit="1" topLeftCell="A2" activePane="bottomLeft" state="frozen"/>
      <selection pane="bottomLeft" activeCell="J1" sqref="J1"/>
    </sheetView>
  </sheetViews>
  <sheetFormatPr baseColWidth="10" defaultRowHeight="24" x14ac:dyDescent="0.3"/>
  <cols>
    <col min="1" max="1" width="30.33203125" style="20" customWidth="1"/>
    <col min="2" max="2" width="13.6640625" style="20" customWidth="1"/>
    <col min="3" max="3" width="14.6640625" style="20" customWidth="1"/>
    <col min="4" max="4" width="15.5" style="20" customWidth="1"/>
    <col min="5" max="5" width="12.33203125" style="20" customWidth="1"/>
    <col min="6" max="6" width="10.83203125" style="20"/>
    <col min="7" max="7" width="9.5" style="20" customWidth="1"/>
    <col min="8" max="8" width="18.5" style="20" customWidth="1"/>
    <col min="9" max="9" width="10.83203125" style="20" customWidth="1"/>
    <col min="10" max="10" width="37" style="20" customWidth="1"/>
    <col min="11" max="11" width="10.83203125" style="20" customWidth="1"/>
    <col min="12" max="12" width="10.83203125" style="20"/>
    <col min="13" max="14" width="10.83203125" style="20" customWidth="1"/>
    <col min="15" max="15" width="10.83203125" style="20"/>
    <col min="16" max="16" width="20" style="20" bestFit="1" customWidth="1"/>
    <col min="17" max="16384" width="10.83203125" style="20"/>
  </cols>
  <sheetData>
    <row r="1" spans="1:16" x14ac:dyDescent="0.3">
      <c r="A1" s="47" t="s">
        <v>0</v>
      </c>
      <c r="B1" s="2"/>
      <c r="C1" s="3"/>
      <c r="D1" s="3"/>
      <c r="E1" s="3"/>
      <c r="F1" s="3"/>
      <c r="G1" s="3"/>
      <c r="H1" s="3"/>
      <c r="I1" s="19"/>
      <c r="J1" s="47" t="s">
        <v>65</v>
      </c>
      <c r="K1" s="3"/>
    </row>
    <row r="2" spans="1:16" x14ac:dyDescent="0.3">
      <c r="A2" s="47" t="s">
        <v>1</v>
      </c>
      <c r="B2" s="48" t="s">
        <v>2</v>
      </c>
      <c r="C2" s="47" t="s">
        <v>3</v>
      </c>
      <c r="D2" s="47" t="s">
        <v>42</v>
      </c>
      <c r="E2" s="49" t="s">
        <v>78</v>
      </c>
      <c r="F2" s="47" t="s">
        <v>43</v>
      </c>
      <c r="G2" s="47" t="s">
        <v>4</v>
      </c>
      <c r="H2" s="47" t="s">
        <v>5</v>
      </c>
      <c r="I2" s="1"/>
      <c r="J2" s="3" t="s">
        <v>66</v>
      </c>
      <c r="K2" s="21" t="s">
        <v>69</v>
      </c>
      <c r="P2" s="22"/>
    </row>
    <row r="3" spans="1:16" x14ac:dyDescent="0.3">
      <c r="A3" s="3" t="s">
        <v>6</v>
      </c>
      <c r="B3" s="13">
        <v>193255583</v>
      </c>
      <c r="C3" s="14">
        <v>477000000</v>
      </c>
      <c r="D3" s="14">
        <v>5000000000</v>
      </c>
      <c r="E3" s="3">
        <v>46</v>
      </c>
      <c r="F3" s="3">
        <v>36</v>
      </c>
      <c r="G3" s="23">
        <v>0.56100000000000005</v>
      </c>
      <c r="H3" s="3" t="s">
        <v>36</v>
      </c>
      <c r="J3" s="3" t="s">
        <v>3</v>
      </c>
      <c r="K3" s="21" t="s">
        <v>70</v>
      </c>
    </row>
    <row r="4" spans="1:16" x14ac:dyDescent="0.3">
      <c r="A4" s="3" t="s">
        <v>7</v>
      </c>
      <c r="B4" s="13">
        <v>194526296</v>
      </c>
      <c r="C4" s="14">
        <v>458000000</v>
      </c>
      <c r="D4" s="14">
        <v>6700000000</v>
      </c>
      <c r="E4" s="3">
        <v>56</v>
      </c>
      <c r="F4" s="3">
        <v>26</v>
      </c>
      <c r="G4" s="23">
        <v>0.68300000000000005</v>
      </c>
      <c r="H4" s="3" t="s">
        <v>36</v>
      </c>
      <c r="J4" s="3" t="s">
        <v>67</v>
      </c>
      <c r="K4" s="21" t="s">
        <v>70</v>
      </c>
    </row>
    <row r="5" spans="1:16" x14ac:dyDescent="0.3">
      <c r="A5" s="3" t="s">
        <v>8</v>
      </c>
      <c r="B5" s="13">
        <v>150960352</v>
      </c>
      <c r="C5" s="14">
        <v>402000000</v>
      </c>
      <c r="D5" s="14">
        <v>5600000000</v>
      </c>
      <c r="E5" s="3">
        <v>20</v>
      </c>
      <c r="F5" s="3">
        <v>62</v>
      </c>
      <c r="G5" s="23">
        <v>0.24399999999999999</v>
      </c>
      <c r="H5" s="3" t="s">
        <v>37</v>
      </c>
      <c r="J5" s="3" t="s">
        <v>68</v>
      </c>
      <c r="K5" s="21" t="s">
        <v>71</v>
      </c>
    </row>
    <row r="6" spans="1:16" x14ac:dyDescent="0.3">
      <c r="A6" s="3" t="s">
        <v>9</v>
      </c>
      <c r="B6" s="13">
        <v>183806358</v>
      </c>
      <c r="C6" s="14">
        <v>328000000</v>
      </c>
      <c r="D6" s="14">
        <v>3800000000</v>
      </c>
      <c r="E6" s="3">
        <v>44</v>
      </c>
      <c r="F6" s="3">
        <v>38</v>
      </c>
      <c r="G6" s="23">
        <v>0.53700000000000003</v>
      </c>
      <c r="H6" s="3" t="s">
        <v>37</v>
      </c>
      <c r="J6" s="3" t="s">
        <v>4</v>
      </c>
      <c r="K6" s="21" t="s">
        <v>71</v>
      </c>
    </row>
    <row r="7" spans="1:16" x14ac:dyDescent="0.3">
      <c r="A7" s="3" t="s">
        <v>10</v>
      </c>
      <c r="B7" s="13">
        <v>187673271</v>
      </c>
      <c r="C7" s="14">
        <v>434000000</v>
      </c>
      <c r="D7" s="14">
        <v>6000000000</v>
      </c>
      <c r="E7" s="3">
        <v>31</v>
      </c>
      <c r="F7" s="3">
        <v>51</v>
      </c>
      <c r="G7" s="23">
        <v>0.378</v>
      </c>
      <c r="H7" s="3" t="s">
        <v>37</v>
      </c>
    </row>
    <row r="8" spans="1:16" x14ac:dyDescent="0.3">
      <c r="A8" s="3" t="s">
        <v>11</v>
      </c>
      <c r="B8" s="13">
        <v>226181970</v>
      </c>
      <c r="C8" s="14">
        <v>440000000</v>
      </c>
      <c r="D8" s="14">
        <v>4800000000</v>
      </c>
      <c r="E8" s="3">
        <v>52</v>
      </c>
      <c r="F8" s="3">
        <v>30</v>
      </c>
      <c r="G8" s="23">
        <v>0.63400000000000001</v>
      </c>
      <c r="H8" s="3" t="s">
        <v>38</v>
      </c>
    </row>
    <row r="9" spans="1:16" x14ac:dyDescent="0.3">
      <c r="A9" s="3" t="s">
        <v>12</v>
      </c>
      <c r="B9" s="13">
        <v>200372430</v>
      </c>
      <c r="C9" s="14">
        <v>407000000</v>
      </c>
      <c r="D9" s="14">
        <v>5100000000</v>
      </c>
      <c r="E9" s="3">
        <v>26</v>
      </c>
      <c r="F9" s="3">
        <v>56</v>
      </c>
      <c r="G9" s="23">
        <v>0.317</v>
      </c>
      <c r="H9" s="3" t="s">
        <v>37</v>
      </c>
    </row>
    <row r="10" spans="1:16" x14ac:dyDescent="0.3">
      <c r="A10" s="3" t="s">
        <v>13</v>
      </c>
      <c r="B10" s="13">
        <v>200743895</v>
      </c>
      <c r="C10" s="14">
        <v>364000000</v>
      </c>
      <c r="D10" s="14">
        <v>4600000000</v>
      </c>
      <c r="E10" s="3">
        <v>54</v>
      </c>
      <c r="F10" s="3">
        <v>28</v>
      </c>
      <c r="G10" s="23">
        <v>0.65900000000000003</v>
      </c>
      <c r="H10" s="3" t="s">
        <v>36</v>
      </c>
    </row>
    <row r="11" spans="1:16" x14ac:dyDescent="0.3">
      <c r="A11" s="3" t="s">
        <v>14</v>
      </c>
      <c r="B11" s="13">
        <v>193082507</v>
      </c>
      <c r="C11" s="14">
        <v>321000000</v>
      </c>
      <c r="D11" s="14">
        <v>3650000000</v>
      </c>
      <c r="E11" s="3">
        <v>60</v>
      </c>
      <c r="F11" s="3">
        <v>22</v>
      </c>
      <c r="G11" s="23">
        <v>0.73199999999999998</v>
      </c>
      <c r="H11" s="3" t="s">
        <v>39</v>
      </c>
    </row>
    <row r="12" spans="1:16" x14ac:dyDescent="0.3">
      <c r="A12" s="3" t="s">
        <v>15</v>
      </c>
      <c r="B12" s="13">
        <v>234222725</v>
      </c>
      <c r="C12" s="14">
        <v>880000000</v>
      </c>
      <c r="D12" s="14">
        <v>11000000000</v>
      </c>
      <c r="E12" s="3">
        <v>37</v>
      </c>
      <c r="F12" s="3">
        <v>45</v>
      </c>
      <c r="G12" s="23">
        <v>0.45100000000000001</v>
      </c>
      <c r="H12" s="3" t="s">
        <v>37</v>
      </c>
    </row>
    <row r="13" spans="1:16" x14ac:dyDescent="0.3">
      <c r="A13" s="3" t="s">
        <v>16</v>
      </c>
      <c r="B13" s="13">
        <v>201412484</v>
      </c>
      <c r="C13" s="14">
        <v>467000000</v>
      </c>
      <c r="D13" s="14">
        <v>5900000000</v>
      </c>
      <c r="E13" s="3">
        <v>52</v>
      </c>
      <c r="F13" s="3">
        <v>30</v>
      </c>
      <c r="G13" s="23">
        <v>0.63400000000000001</v>
      </c>
      <c r="H13" s="3" t="s">
        <v>36</v>
      </c>
    </row>
    <row r="14" spans="1:16" x14ac:dyDescent="0.3">
      <c r="A14" s="3" t="s">
        <v>17</v>
      </c>
      <c r="B14" s="13">
        <v>191900207</v>
      </c>
      <c r="C14" s="14">
        <v>342000000</v>
      </c>
      <c r="D14" s="14">
        <v>4200000000</v>
      </c>
      <c r="E14" s="3">
        <v>19</v>
      </c>
      <c r="F14" s="3">
        <v>63</v>
      </c>
      <c r="G14" s="23">
        <v>0.23200000000000001</v>
      </c>
      <c r="H14" s="3" t="s">
        <v>37</v>
      </c>
    </row>
    <row r="15" spans="1:16" x14ac:dyDescent="0.3">
      <c r="A15" s="3" t="s">
        <v>18</v>
      </c>
      <c r="B15" s="13">
        <v>199054230</v>
      </c>
      <c r="C15" s="14">
        <v>569000000</v>
      </c>
      <c r="D15" s="14">
        <v>7500000000</v>
      </c>
      <c r="E15" s="3">
        <v>42</v>
      </c>
      <c r="F15" s="3">
        <v>40</v>
      </c>
      <c r="G15" s="23">
        <v>0.51200000000000001</v>
      </c>
      <c r="H15" s="3" t="s">
        <v>37</v>
      </c>
    </row>
    <row r="16" spans="1:16" x14ac:dyDescent="0.3">
      <c r="A16" s="3" t="s">
        <v>19</v>
      </c>
      <c r="B16" s="13">
        <v>211399497</v>
      </c>
      <c r="C16" s="14">
        <v>551000000</v>
      </c>
      <c r="D16" s="14">
        <v>10000000000</v>
      </c>
      <c r="E16" s="3">
        <v>53</v>
      </c>
      <c r="F16" s="3">
        <v>29</v>
      </c>
      <c r="G16" s="23">
        <v>0.64600000000000002</v>
      </c>
      <c r="H16" s="3" t="s">
        <v>39</v>
      </c>
    </row>
    <row r="17" spans="1:8" x14ac:dyDescent="0.3">
      <c r="A17" s="3" t="s">
        <v>20</v>
      </c>
      <c r="B17" s="13">
        <v>157650285</v>
      </c>
      <c r="C17" s="14">
        <v>306000000</v>
      </c>
      <c r="D17" s="14">
        <v>3500000000</v>
      </c>
      <c r="E17" s="3">
        <v>25</v>
      </c>
      <c r="F17" s="3">
        <v>57</v>
      </c>
      <c r="G17" s="23">
        <v>0.30499999999999999</v>
      </c>
      <c r="H17" s="3" t="s">
        <v>37</v>
      </c>
    </row>
    <row r="18" spans="1:8" x14ac:dyDescent="0.3">
      <c r="A18" s="3" t="s">
        <v>21</v>
      </c>
      <c r="B18" s="13">
        <v>197952062</v>
      </c>
      <c r="C18" s="14">
        <v>417000000</v>
      </c>
      <c r="D18" s="14">
        <v>5700000000</v>
      </c>
      <c r="E18" s="3">
        <v>43</v>
      </c>
      <c r="F18" s="3">
        <v>39</v>
      </c>
      <c r="G18" s="23">
        <v>0.52400000000000002</v>
      </c>
      <c r="H18" s="3" t="s">
        <v>37</v>
      </c>
    </row>
    <row r="19" spans="1:8" x14ac:dyDescent="0.3">
      <c r="A19" s="3" t="s">
        <v>22</v>
      </c>
      <c r="B19" s="13">
        <v>181255390</v>
      </c>
      <c r="C19" s="14">
        <v>355000000</v>
      </c>
      <c r="D19" s="14">
        <v>4300000000</v>
      </c>
      <c r="E19" s="3">
        <v>32</v>
      </c>
      <c r="F19" s="3">
        <v>50</v>
      </c>
      <c r="G19" s="23">
        <v>0.39</v>
      </c>
      <c r="H19" s="3" t="s">
        <v>37</v>
      </c>
    </row>
    <row r="20" spans="1:8" x14ac:dyDescent="0.3">
      <c r="A20" s="3" t="s">
        <v>23</v>
      </c>
      <c r="B20" s="13">
        <v>228841297</v>
      </c>
      <c r="C20" s="14">
        <v>320000000</v>
      </c>
      <c r="D20" s="14">
        <v>3600000000</v>
      </c>
      <c r="E20" s="3">
        <v>49</v>
      </c>
      <c r="F20" s="3">
        <v>33</v>
      </c>
      <c r="G20" s="23">
        <v>0.59799999999999998</v>
      </c>
      <c r="H20" s="3" t="s">
        <v>39</v>
      </c>
    </row>
    <row r="21" spans="1:8" x14ac:dyDescent="0.3">
      <c r="A21" s="3" t="s">
        <v>24</v>
      </c>
      <c r="B21" s="13">
        <v>207453274</v>
      </c>
      <c r="C21" s="14">
        <v>302000000</v>
      </c>
      <c r="D21" s="14">
        <v>3550000000</v>
      </c>
      <c r="E21" s="3">
        <v>26</v>
      </c>
      <c r="F21" s="3">
        <v>56</v>
      </c>
      <c r="G21" s="23">
        <v>0.317</v>
      </c>
      <c r="H21" s="3" t="s">
        <v>37</v>
      </c>
    </row>
    <row r="22" spans="1:8" x14ac:dyDescent="0.3">
      <c r="A22" s="3" t="s">
        <v>25</v>
      </c>
      <c r="B22" s="13">
        <v>209750538</v>
      </c>
      <c r="C22" s="14">
        <v>532000000</v>
      </c>
      <c r="D22" s="14">
        <v>9750000000</v>
      </c>
      <c r="E22" s="3">
        <v>53</v>
      </c>
      <c r="F22" s="3">
        <v>29</v>
      </c>
      <c r="G22" s="23">
        <v>0.64600000000000002</v>
      </c>
      <c r="H22" s="3" t="s">
        <v>40</v>
      </c>
    </row>
    <row r="23" spans="1:8" x14ac:dyDescent="0.3">
      <c r="A23" s="3" t="s">
        <v>26</v>
      </c>
      <c r="B23" s="13">
        <v>188057857</v>
      </c>
      <c r="C23" s="14">
        <v>357000000</v>
      </c>
      <c r="D23" s="14">
        <v>4350000000</v>
      </c>
      <c r="E23" s="3">
        <v>64</v>
      </c>
      <c r="F23" s="3">
        <v>18</v>
      </c>
      <c r="G23" s="23">
        <v>0.78</v>
      </c>
      <c r="H23" s="3" t="s">
        <v>38</v>
      </c>
    </row>
    <row r="24" spans="1:8" x14ac:dyDescent="0.3">
      <c r="A24" s="3" t="s">
        <v>27</v>
      </c>
      <c r="B24" s="13">
        <v>194063614</v>
      </c>
      <c r="C24" s="14">
        <v>318000000</v>
      </c>
      <c r="D24" s="14">
        <v>3900000000</v>
      </c>
      <c r="E24" s="3">
        <v>45</v>
      </c>
      <c r="F24" s="3">
        <v>37</v>
      </c>
      <c r="G24" s="23">
        <v>0.54900000000000004</v>
      </c>
      <c r="H24" s="3" t="s">
        <v>36</v>
      </c>
    </row>
    <row r="25" spans="1:8" x14ac:dyDescent="0.3">
      <c r="A25" s="3" t="s">
        <v>28</v>
      </c>
      <c r="B25" s="13">
        <v>199898431</v>
      </c>
      <c r="C25" s="14">
        <v>472000000</v>
      </c>
      <c r="D25" s="14">
        <v>5450000000</v>
      </c>
      <c r="E25" s="3">
        <v>45</v>
      </c>
      <c r="F25" s="3">
        <v>37</v>
      </c>
      <c r="G25" s="23">
        <v>0.54900000000000004</v>
      </c>
      <c r="H25" s="3" t="s">
        <v>39</v>
      </c>
    </row>
    <row r="26" spans="1:8" x14ac:dyDescent="0.3">
      <c r="A26" s="3" t="s">
        <v>29</v>
      </c>
      <c r="B26" s="13">
        <v>207796989</v>
      </c>
      <c r="C26" s="14">
        <v>455000000</v>
      </c>
      <c r="D26" s="14">
        <v>5425000000</v>
      </c>
      <c r="E26" s="3">
        <v>45</v>
      </c>
      <c r="F26" s="3">
        <v>37</v>
      </c>
      <c r="G26" s="23">
        <v>0.54900000000000004</v>
      </c>
      <c r="H26" s="3" t="s">
        <v>36</v>
      </c>
    </row>
    <row r="27" spans="1:8" x14ac:dyDescent="0.3">
      <c r="A27" s="3" t="s">
        <v>30</v>
      </c>
      <c r="B27" s="13">
        <v>197927822</v>
      </c>
      <c r="C27" s="14">
        <v>361000000</v>
      </c>
      <c r="D27" s="14">
        <v>4250000000</v>
      </c>
      <c r="E27" s="3">
        <v>42</v>
      </c>
      <c r="F27" s="3">
        <v>40</v>
      </c>
      <c r="G27" s="23">
        <v>0.51200000000000001</v>
      </c>
      <c r="H27" s="3" t="s">
        <v>36</v>
      </c>
    </row>
    <row r="28" spans="1:8" x14ac:dyDescent="0.3">
      <c r="A28" s="3" t="s">
        <v>31</v>
      </c>
      <c r="B28" s="13">
        <v>213853369</v>
      </c>
      <c r="C28" s="14">
        <v>354000000</v>
      </c>
      <c r="D28" s="14">
        <v>4450000000</v>
      </c>
      <c r="E28" s="3">
        <v>22</v>
      </c>
      <c r="F28" s="3">
        <v>60</v>
      </c>
      <c r="G28" s="23">
        <v>0.26800000000000002</v>
      </c>
      <c r="H28" s="3" t="s">
        <v>37</v>
      </c>
    </row>
    <row r="29" spans="1:8" x14ac:dyDescent="0.3">
      <c r="A29" s="3" t="s">
        <v>32</v>
      </c>
      <c r="B29" s="13">
        <v>183990669</v>
      </c>
      <c r="C29" s="14">
        <v>401000000</v>
      </c>
      <c r="D29" s="14">
        <v>4400000000</v>
      </c>
      <c r="E29" s="3">
        <v>62</v>
      </c>
      <c r="F29" s="3">
        <v>20</v>
      </c>
      <c r="G29" s="23">
        <v>0.75600000000000001</v>
      </c>
      <c r="H29" s="3" t="s">
        <v>41</v>
      </c>
    </row>
    <row r="30" spans="1:8" x14ac:dyDescent="0.3">
      <c r="A30" s="3" t="s">
        <v>33</v>
      </c>
      <c r="B30" s="13">
        <v>194966020</v>
      </c>
      <c r="C30" s="14">
        <v>380000000</v>
      </c>
      <c r="D30" s="14">
        <v>5400000000</v>
      </c>
      <c r="E30" s="3">
        <v>46</v>
      </c>
      <c r="F30" s="3">
        <v>36</v>
      </c>
      <c r="G30" s="23">
        <v>0.56100000000000005</v>
      </c>
      <c r="H30" s="3" t="s">
        <v>36</v>
      </c>
    </row>
    <row r="31" spans="1:8" x14ac:dyDescent="0.3">
      <c r="A31" s="3" t="s">
        <v>34</v>
      </c>
      <c r="B31" s="13">
        <v>173117343</v>
      </c>
      <c r="C31" s="14">
        <v>340000000</v>
      </c>
      <c r="D31" s="14">
        <v>4099999999.9999995</v>
      </c>
      <c r="E31" s="3">
        <v>22</v>
      </c>
      <c r="F31" s="3">
        <v>60</v>
      </c>
      <c r="G31" s="23">
        <v>0.26800000000000002</v>
      </c>
      <c r="H31" s="3" t="s">
        <v>37</v>
      </c>
    </row>
    <row r="32" spans="1:8" x14ac:dyDescent="0.3">
      <c r="A32" s="3" t="s">
        <v>35</v>
      </c>
      <c r="B32" s="13">
        <v>232033397</v>
      </c>
      <c r="C32" s="14">
        <v>389000000</v>
      </c>
      <c r="D32" s="14">
        <v>4700000000</v>
      </c>
      <c r="E32" s="3">
        <v>17</v>
      </c>
      <c r="F32" s="3">
        <v>65</v>
      </c>
      <c r="G32" s="23">
        <v>0.20699999999999999</v>
      </c>
      <c r="H32" s="3" t="s">
        <v>37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13EC-71E1-BB44-B1D4-72A65F19BE02}">
  <sheetPr>
    <tabColor rgb="FF1F4E79"/>
  </sheetPr>
  <dimension ref="A1:K64"/>
  <sheetViews>
    <sheetView topLeftCell="E1" zoomScale="88" zoomScaleNormal="88" workbookViewId="0">
      <selection activeCell="C40" sqref="C40"/>
    </sheetView>
  </sheetViews>
  <sheetFormatPr baseColWidth="10" defaultRowHeight="15" x14ac:dyDescent="0.2"/>
  <cols>
    <col min="1" max="1" width="19.6640625" style="3" customWidth="1"/>
    <col min="2" max="2" width="15.83203125" style="3" customWidth="1"/>
    <col min="3" max="3" width="17.6640625" style="3" customWidth="1"/>
    <col min="4" max="5" width="16" style="3" customWidth="1"/>
    <col min="6" max="6" width="11.1640625" style="3" customWidth="1"/>
    <col min="7" max="7" width="17.5" style="3" bestFit="1" customWidth="1"/>
    <col min="8" max="8" width="37.83203125" style="3" customWidth="1"/>
    <col min="9" max="9" width="13.1640625" style="3" customWidth="1"/>
    <col min="10" max="11" width="9.6640625" style="3" customWidth="1"/>
    <col min="12" max="14" width="10.83203125" style="3"/>
    <col min="15" max="15" width="10.83203125" style="3" customWidth="1"/>
    <col min="16" max="16384" width="10.83203125" style="3"/>
  </cols>
  <sheetData>
    <row r="1" spans="1:11" x14ac:dyDescent="0.2">
      <c r="A1" s="47" t="s">
        <v>1</v>
      </c>
      <c r="B1" s="47" t="s">
        <v>44</v>
      </c>
      <c r="C1" s="47" t="s">
        <v>46</v>
      </c>
      <c r="D1" s="47" t="s">
        <v>45</v>
      </c>
      <c r="E1" s="47" t="s">
        <v>4</v>
      </c>
      <c r="F1" s="50"/>
      <c r="G1" s="47" t="s">
        <v>47</v>
      </c>
      <c r="H1" s="47" t="s">
        <v>48</v>
      </c>
      <c r="I1" s="47" t="s">
        <v>54</v>
      </c>
      <c r="J1" s="47" t="s">
        <v>61</v>
      </c>
      <c r="K1" s="50"/>
    </row>
    <row r="2" spans="1:11" x14ac:dyDescent="0.2">
      <c r="A2" s="3" t="s">
        <v>6</v>
      </c>
      <c r="B2" s="5">
        <f>nba_team_financials!C3/nba_team_financials!E3</f>
        <v>10369565.217391305</v>
      </c>
      <c r="C2" s="6">
        <f>nba_team_financials!E3/(nba_team_financials!B3/1000000)</f>
        <v>0.23802675858528755</v>
      </c>
      <c r="D2" s="4">
        <f>nba_team_financials!C3/nba_team_financials!B3</f>
        <v>2.4682339966343947</v>
      </c>
      <c r="E2" s="24">
        <f>nba_team_financials!G3</f>
        <v>0.56100000000000005</v>
      </c>
      <c r="G2" s="3" t="s">
        <v>55</v>
      </c>
      <c r="H2" s="3" t="s">
        <v>49</v>
      </c>
      <c r="I2" s="3" t="s">
        <v>51</v>
      </c>
      <c r="J2" s="18">
        <v>0.15</v>
      </c>
      <c r="K2" s="18"/>
    </row>
    <row r="3" spans="1:11" x14ac:dyDescent="0.2">
      <c r="A3" s="3" t="s">
        <v>7</v>
      </c>
      <c r="B3" s="5">
        <f>nba_team_financials!C4/nba_team_financials!E4</f>
        <v>8178571.4285714282</v>
      </c>
      <c r="C3" s="6">
        <f>nba_team_financials!E4/(nba_team_financials!B4/1000000)</f>
        <v>0.28787881716516106</v>
      </c>
      <c r="D3" s="4">
        <f>nba_team_financials!C4/nba_team_financials!B4</f>
        <v>2.3544374689579244</v>
      </c>
      <c r="E3" s="24">
        <f>nba_team_financials!G4</f>
        <v>0.68300000000000005</v>
      </c>
      <c r="G3" s="3" t="s">
        <v>56</v>
      </c>
      <c r="H3" s="3" t="s">
        <v>52</v>
      </c>
      <c r="I3" s="3" t="s">
        <v>51</v>
      </c>
      <c r="J3" s="18">
        <v>0.3</v>
      </c>
      <c r="K3" s="18"/>
    </row>
    <row r="4" spans="1:11" x14ac:dyDescent="0.2">
      <c r="A4" s="3" t="s">
        <v>8</v>
      </c>
      <c r="B4" s="5">
        <f>nba_team_financials!C5/nba_team_financials!E5</f>
        <v>20100000</v>
      </c>
      <c r="C4" s="6">
        <f>nba_team_financials!E5/(nba_team_financials!B5/1000000)</f>
        <v>0.13248511768176058</v>
      </c>
      <c r="D4" s="4">
        <f>nba_team_financials!C5/nba_team_financials!B5</f>
        <v>2.6629508654033875</v>
      </c>
      <c r="E4" s="24">
        <f>nba_team_financials!G5</f>
        <v>0.24399999999999999</v>
      </c>
      <c r="G4" s="3" t="s">
        <v>57</v>
      </c>
      <c r="H4" s="3" t="s">
        <v>53</v>
      </c>
      <c r="I4" s="3" t="s">
        <v>51</v>
      </c>
      <c r="J4" s="18">
        <v>0.3</v>
      </c>
      <c r="K4" s="18"/>
    </row>
    <row r="5" spans="1:11" x14ac:dyDescent="0.2">
      <c r="A5" s="3" t="s">
        <v>9</v>
      </c>
      <c r="B5" s="5">
        <f>nba_team_financials!C6/nba_team_financials!E6</f>
        <v>7454545.4545454541</v>
      </c>
      <c r="C5" s="6">
        <f>nba_team_financials!E6/(nba_team_financials!B6/1000000)</f>
        <v>0.23938236130003732</v>
      </c>
      <c r="D5" s="4">
        <f>nba_team_financials!C6/nba_team_financials!B6</f>
        <v>1.7844866933275507</v>
      </c>
      <c r="E5" s="24">
        <f>nba_team_financials!G6</f>
        <v>0.53700000000000003</v>
      </c>
      <c r="G5" s="3" t="s">
        <v>62</v>
      </c>
      <c r="H5" s="3" t="s">
        <v>63</v>
      </c>
      <c r="I5" s="3" t="s">
        <v>51</v>
      </c>
      <c r="J5" s="18">
        <v>0.25</v>
      </c>
      <c r="K5" s="18"/>
    </row>
    <row r="6" spans="1:11" x14ac:dyDescent="0.2">
      <c r="A6" s="3" t="s">
        <v>10</v>
      </c>
      <c r="B6" s="5">
        <f>nba_team_financials!C7/nba_team_financials!E7</f>
        <v>14000000</v>
      </c>
      <c r="C6" s="6">
        <f>nba_team_financials!E7/(nba_team_financials!B7/1000000)</f>
        <v>0.16518068787749748</v>
      </c>
      <c r="D6" s="4">
        <f>nba_team_financials!C7/nba_team_financials!B7</f>
        <v>2.3125296302849647</v>
      </c>
      <c r="E6" s="24">
        <f>nba_team_financials!G7</f>
        <v>0.378</v>
      </c>
      <c r="G6" s="3" t="s">
        <v>58</v>
      </c>
      <c r="H6" s="3" t="s">
        <v>72</v>
      </c>
      <c r="I6" s="3" t="s">
        <v>50</v>
      </c>
      <c r="J6" s="3" t="s">
        <v>64</v>
      </c>
    </row>
    <row r="7" spans="1:11" x14ac:dyDescent="0.2">
      <c r="A7" s="3" t="s">
        <v>11</v>
      </c>
      <c r="B7" s="5">
        <f>nba_team_financials!C8/nba_team_financials!E8</f>
        <v>8461538.461538462</v>
      </c>
      <c r="C7" s="6">
        <f>nba_team_financials!E8/(nba_team_financials!B8/1000000)</f>
        <v>0.22990338266131469</v>
      </c>
      <c r="D7" s="4">
        <f>nba_team_financials!C8/nba_team_financials!B8</f>
        <v>1.945336314826509</v>
      </c>
      <c r="E7" s="24">
        <f>nba_team_financials!G8</f>
        <v>0.63400000000000001</v>
      </c>
      <c r="G7" s="3" t="s">
        <v>59</v>
      </c>
      <c r="H7" s="3" t="s">
        <v>60</v>
      </c>
      <c r="I7" s="3" t="s">
        <v>50</v>
      </c>
      <c r="J7" s="3" t="s">
        <v>64</v>
      </c>
    </row>
    <row r="8" spans="1:11" x14ac:dyDescent="0.2">
      <c r="A8" s="3" t="s">
        <v>12</v>
      </c>
      <c r="B8" s="5">
        <f>nba_team_financials!C9/nba_team_financials!E9</f>
        <v>15653846.153846154</v>
      </c>
      <c r="C8" s="6">
        <f>nba_team_financials!E9/(nba_team_financials!B9/1000000)</f>
        <v>0.12975837045046565</v>
      </c>
      <c r="D8" s="4">
        <f>nba_team_financials!C9/nba_team_financials!B9</f>
        <v>2.0312175682053666</v>
      </c>
      <c r="E8" s="24">
        <f>nba_team_financials!G9</f>
        <v>0.317</v>
      </c>
    </row>
    <row r="9" spans="1:11" x14ac:dyDescent="0.2">
      <c r="A9" s="3" t="s">
        <v>13</v>
      </c>
      <c r="B9" s="5">
        <f>nba_team_financials!C10/nba_team_financials!E10</f>
        <v>6740740.7407407407</v>
      </c>
      <c r="C9" s="6">
        <f>nba_team_financials!E10/(nba_team_financials!B10/1000000)</f>
        <v>0.26899946322153406</v>
      </c>
      <c r="D9" s="4">
        <f>nba_team_financials!C10/nba_team_financials!B10</f>
        <v>1.8132556409747853</v>
      </c>
      <c r="E9" s="24">
        <f>nba_team_financials!G10</f>
        <v>0.65900000000000003</v>
      </c>
    </row>
    <row r="10" spans="1:11" x14ac:dyDescent="0.2">
      <c r="A10" s="3" t="s">
        <v>14</v>
      </c>
      <c r="B10" s="5">
        <f>nba_team_financials!C11/nba_team_financials!E11</f>
        <v>5350000</v>
      </c>
      <c r="C10" s="6">
        <f>nba_team_financials!E11/(nba_team_financials!B11/1000000)</f>
        <v>0.31074798505697881</v>
      </c>
      <c r="D10" s="4">
        <f>nba_team_financials!C11/nba_team_financials!B11</f>
        <v>1.6625017200548364</v>
      </c>
      <c r="E10" s="24">
        <f>nba_team_financials!G11</f>
        <v>0.73199999999999998</v>
      </c>
    </row>
    <row r="11" spans="1:11" x14ac:dyDescent="0.2">
      <c r="A11" s="3" t="s">
        <v>15</v>
      </c>
      <c r="B11" s="5">
        <f>nba_team_financials!C12/nba_team_financials!E12</f>
        <v>23783783.783783782</v>
      </c>
      <c r="C11" s="6">
        <f>nba_team_financials!E12/(nba_team_financials!B12/1000000)</f>
        <v>0.1579693003742485</v>
      </c>
      <c r="D11" s="4">
        <f>nba_team_financials!C12/nba_team_financials!B12</f>
        <v>3.7571076845767206</v>
      </c>
      <c r="E11" s="24">
        <f>nba_team_financials!G12</f>
        <v>0.45100000000000001</v>
      </c>
    </row>
    <row r="12" spans="1:11" x14ac:dyDescent="0.2">
      <c r="A12" s="3" t="s">
        <v>16</v>
      </c>
      <c r="B12" s="5">
        <f>nba_team_financials!C13/nba_team_financials!E13</f>
        <v>8980769.2307692301</v>
      </c>
      <c r="C12" s="6">
        <f>nba_team_financials!E13/(nba_team_financials!B13/1000000)</f>
        <v>0.2581766480770874</v>
      </c>
      <c r="D12" s="4">
        <f>nba_team_financials!C13/nba_team_financials!B13</f>
        <v>2.3186248971538426</v>
      </c>
      <c r="E12" s="24">
        <f>nba_team_financials!G13</f>
        <v>0.63400000000000001</v>
      </c>
    </row>
    <row r="13" spans="1:11" x14ac:dyDescent="0.2">
      <c r="A13" s="3" t="s">
        <v>17</v>
      </c>
      <c r="B13" s="5">
        <f>nba_team_financials!C14/nba_team_financials!E14</f>
        <v>18000000</v>
      </c>
      <c r="C13" s="6">
        <f>nba_team_financials!E14/(nba_team_financials!B14/1000000)</f>
        <v>9.9009794189539355E-2</v>
      </c>
      <c r="D13" s="4">
        <f>nba_team_financials!C14/nba_team_financials!B14</f>
        <v>1.7821762954117084</v>
      </c>
      <c r="E13" s="24">
        <f>nba_team_financials!G14</f>
        <v>0.23200000000000001</v>
      </c>
    </row>
    <row r="14" spans="1:11" x14ac:dyDescent="0.2">
      <c r="A14" s="3" t="s">
        <v>18</v>
      </c>
      <c r="B14" s="5">
        <f>nba_team_financials!C15/nba_team_financials!E15</f>
        <v>13547619.047619049</v>
      </c>
      <c r="C14" s="6">
        <f>nba_team_financials!E15/(nba_team_financials!B15/1000000)</f>
        <v>0.21099777683699564</v>
      </c>
      <c r="D14" s="4">
        <f>nba_team_financials!C15/nba_team_financials!B15</f>
        <v>2.8585175004821552</v>
      </c>
      <c r="E14" s="24">
        <f>nba_team_financials!G15</f>
        <v>0.51200000000000001</v>
      </c>
    </row>
    <row r="15" spans="1:11" x14ac:dyDescent="0.2">
      <c r="A15" s="3" t="s">
        <v>19</v>
      </c>
      <c r="B15" s="5">
        <f>nba_team_financials!C16/nba_team_financials!E16</f>
        <v>10396226.41509434</v>
      </c>
      <c r="C15" s="6">
        <f>nba_team_financials!E16/(nba_team_financials!B16/1000000)</f>
        <v>0.25071015187893281</v>
      </c>
      <c r="D15" s="4">
        <f>nba_team_financials!C16/nba_team_financials!B16</f>
        <v>2.606439503496075</v>
      </c>
      <c r="E15" s="24">
        <f>nba_team_financials!G16</f>
        <v>0.64600000000000002</v>
      </c>
    </row>
    <row r="16" spans="1:11" x14ac:dyDescent="0.2">
      <c r="A16" s="3" t="s">
        <v>20</v>
      </c>
      <c r="B16" s="5">
        <f>nba_team_financials!C17/nba_team_financials!E17</f>
        <v>12240000</v>
      </c>
      <c r="C16" s="6">
        <f>nba_team_financials!E17/(nba_team_financials!B17/1000000)</f>
        <v>0.15857884430719552</v>
      </c>
      <c r="D16" s="4">
        <f>nba_team_financials!C17/nba_team_financials!B17</f>
        <v>1.941005054320073</v>
      </c>
      <c r="E16" s="24">
        <f>nba_team_financials!G17</f>
        <v>0.30499999999999999</v>
      </c>
    </row>
    <row r="17" spans="1:5" x14ac:dyDescent="0.2">
      <c r="A17" s="3" t="s">
        <v>21</v>
      </c>
      <c r="B17" s="5">
        <f>nba_team_financials!C18/nba_team_financials!E18</f>
        <v>9697674.4186046515</v>
      </c>
      <c r="C17" s="6">
        <f>nba_team_financials!E18/(nba_team_financials!B18/1000000)</f>
        <v>0.21722430959067249</v>
      </c>
      <c r="D17" s="4">
        <f>nba_team_financials!C18/nba_team_financials!B18</f>
        <v>2.1065706302165217</v>
      </c>
      <c r="E17" s="24">
        <f>nba_team_financials!G18</f>
        <v>0.52400000000000002</v>
      </c>
    </row>
    <row r="18" spans="1:5" x14ac:dyDescent="0.2">
      <c r="A18" s="3" t="s">
        <v>22</v>
      </c>
      <c r="B18" s="5">
        <f>nba_team_financials!C19/nba_team_financials!E19</f>
        <v>11093750</v>
      </c>
      <c r="C18" s="6">
        <f>nba_team_financials!E19/(nba_team_financials!B19/1000000)</f>
        <v>0.17654647401106252</v>
      </c>
      <c r="D18" s="4">
        <f>nba_team_financials!C19/nba_team_financials!B19</f>
        <v>1.9585624460602247</v>
      </c>
      <c r="E18" s="24">
        <f>nba_team_financials!G19</f>
        <v>0.39</v>
      </c>
    </row>
    <row r="19" spans="1:5" x14ac:dyDescent="0.2">
      <c r="A19" s="3" t="s">
        <v>23</v>
      </c>
      <c r="B19" s="5">
        <f>nba_team_financials!C20/nba_team_financials!E20</f>
        <v>6530612.2448979588</v>
      </c>
      <c r="C19" s="6">
        <f>nba_team_financials!E20/(nba_team_financials!B20/1000000)</f>
        <v>0.21412219141547689</v>
      </c>
      <c r="D19" s="4">
        <f>nba_team_financials!C20/nba_team_financials!B20</f>
        <v>1.3983490051622982</v>
      </c>
      <c r="E19" s="24">
        <f>nba_team_financials!G20</f>
        <v>0.59799999999999998</v>
      </c>
    </row>
    <row r="20" spans="1:5" x14ac:dyDescent="0.2">
      <c r="A20" s="3" t="s">
        <v>24</v>
      </c>
      <c r="B20" s="5">
        <f>nba_team_financials!C21/nba_team_financials!E21</f>
        <v>11615384.615384616</v>
      </c>
      <c r="C20" s="6">
        <f>nba_team_financials!E21/(nba_team_financials!B21/1000000)</f>
        <v>0.12532942719428955</v>
      </c>
      <c r="D20" s="4">
        <f>nba_team_financials!C21/nba_team_financials!B21</f>
        <v>1.4557495004875169</v>
      </c>
      <c r="E20" s="24">
        <f>nba_team_financials!G21</f>
        <v>0.317</v>
      </c>
    </row>
    <row r="21" spans="1:5" x14ac:dyDescent="0.2">
      <c r="A21" s="3" t="s">
        <v>25</v>
      </c>
      <c r="B21" s="5">
        <f>nba_team_financials!C22/nba_team_financials!E22</f>
        <v>10037735.849056603</v>
      </c>
      <c r="C21" s="6">
        <f>nba_team_financials!E22/(nba_team_financials!B22/1000000)</f>
        <v>0.25268111588824627</v>
      </c>
      <c r="D21" s="4">
        <f>nba_team_financials!C22/nba_team_financials!B22</f>
        <v>2.5363462953310756</v>
      </c>
      <c r="E21" s="24">
        <f>nba_team_financials!G22</f>
        <v>0.64600000000000002</v>
      </c>
    </row>
    <row r="22" spans="1:5" x14ac:dyDescent="0.2">
      <c r="A22" s="3" t="s">
        <v>26</v>
      </c>
      <c r="B22" s="5">
        <f>nba_team_financials!C23/nba_team_financials!E23</f>
        <v>5578125</v>
      </c>
      <c r="C22" s="6">
        <f>nba_team_financials!E23/(nba_team_financials!B23/1000000)</f>
        <v>0.34032079818925087</v>
      </c>
      <c r="D22" s="4">
        <f>nba_team_financials!C23/nba_team_financials!B23</f>
        <v>1.898351952399415</v>
      </c>
      <c r="E22" s="24">
        <f>nba_team_financials!G23</f>
        <v>0.78</v>
      </c>
    </row>
    <row r="23" spans="1:5" x14ac:dyDescent="0.2">
      <c r="A23" s="3" t="s">
        <v>27</v>
      </c>
      <c r="B23" s="5">
        <f>nba_team_financials!C24/nba_team_financials!E24</f>
        <v>7066666.666666667</v>
      </c>
      <c r="C23" s="6">
        <f>nba_team_financials!E24/(nba_team_financials!B24/1000000)</f>
        <v>0.23188272686707773</v>
      </c>
      <c r="D23" s="4">
        <f>nba_team_financials!C24/nba_team_financials!B24</f>
        <v>1.6386379365273491</v>
      </c>
      <c r="E23" s="24">
        <f>nba_team_financials!G24</f>
        <v>0.54900000000000004</v>
      </c>
    </row>
    <row r="24" spans="1:5" x14ac:dyDescent="0.2">
      <c r="A24" s="3" t="s">
        <v>28</v>
      </c>
      <c r="B24" s="5">
        <f>nba_team_financials!C25/nba_team_financials!E25</f>
        <v>10488888.888888888</v>
      </c>
      <c r="C24" s="6">
        <f>nba_team_financials!E25/(nba_team_financials!B25/1000000)</f>
        <v>0.22511432318345712</v>
      </c>
      <c r="D24" s="4">
        <f>nba_team_financials!C25/nba_team_financials!B25</f>
        <v>2.3611991231687055</v>
      </c>
      <c r="E24" s="24">
        <f>nba_team_financials!G25</f>
        <v>0.54900000000000004</v>
      </c>
    </row>
    <row r="25" spans="1:5" x14ac:dyDescent="0.2">
      <c r="A25" s="3" t="s">
        <v>29</v>
      </c>
      <c r="B25" s="5">
        <f>nba_team_financials!C26/nba_team_financials!E26</f>
        <v>10111111.111111112</v>
      </c>
      <c r="C25" s="6">
        <f>nba_team_financials!E26/(nba_team_financials!B26/1000000)</f>
        <v>0.2165575171062753</v>
      </c>
      <c r="D25" s="4">
        <f>nba_team_financials!C26/nba_team_financials!B26</f>
        <v>2.1896371174078948</v>
      </c>
      <c r="E25" s="24">
        <f>nba_team_financials!G26</f>
        <v>0.54900000000000004</v>
      </c>
    </row>
    <row r="26" spans="1:5" x14ac:dyDescent="0.2">
      <c r="A26" s="3" t="s">
        <v>30</v>
      </c>
      <c r="B26" s="5">
        <f>nba_team_financials!C27/nba_team_financials!E27</f>
        <v>8595238.0952380951</v>
      </c>
      <c r="C26" s="6">
        <f>nba_team_financials!E27/(nba_team_financials!B27/1000000)</f>
        <v>0.21219856600048881</v>
      </c>
      <c r="D26" s="4">
        <f>nba_team_financials!C27/nba_team_financials!B27</f>
        <v>1.8238971982422967</v>
      </c>
      <c r="E26" s="24">
        <f>nba_team_financials!G27</f>
        <v>0.51200000000000001</v>
      </c>
    </row>
    <row r="27" spans="1:5" x14ac:dyDescent="0.2">
      <c r="A27" s="3" t="s">
        <v>31</v>
      </c>
      <c r="B27" s="5">
        <f>nba_team_financials!C28/nba_team_financials!E28</f>
        <v>16090909.090909092</v>
      </c>
      <c r="C27" s="6">
        <f>nba_team_financials!E28/(nba_team_financials!B28/1000000)</f>
        <v>0.10287422687271296</v>
      </c>
      <c r="D27" s="4">
        <f>nba_team_financials!C28/nba_team_financials!B28</f>
        <v>1.6553398324063813</v>
      </c>
      <c r="E27" s="24">
        <f>nba_team_financials!G28</f>
        <v>0.26800000000000002</v>
      </c>
    </row>
    <row r="28" spans="1:5" x14ac:dyDescent="0.2">
      <c r="A28" s="3" t="s">
        <v>32</v>
      </c>
      <c r="B28" s="5">
        <f>nba_team_financials!C29/nba_team_financials!E29</f>
        <v>6467741.935483871</v>
      </c>
      <c r="C28" s="6">
        <f>nba_team_financials!E29/(nba_team_financials!B29/1000000)</f>
        <v>0.33697361033020645</v>
      </c>
      <c r="D28" s="4">
        <f>nba_team_financials!C29/nba_team_financials!B29</f>
        <v>2.1794583506840772</v>
      </c>
      <c r="E28" s="24">
        <f>nba_team_financials!G29</f>
        <v>0.75600000000000001</v>
      </c>
    </row>
    <row r="29" spans="1:5" x14ac:dyDescent="0.2">
      <c r="A29" s="3" t="s">
        <v>33</v>
      </c>
      <c r="B29" s="5">
        <f>nba_team_financials!C30/nba_team_financials!E30</f>
        <v>8260869.5652173916</v>
      </c>
      <c r="C29" s="6">
        <f>nba_team_financials!E30/(nba_team_financials!B30/1000000)</f>
        <v>0.23593854970214811</v>
      </c>
      <c r="D29" s="4">
        <f>nba_team_financials!C30/nba_team_financials!B30</f>
        <v>1.9490575844960061</v>
      </c>
      <c r="E29" s="24">
        <f>nba_team_financials!G30</f>
        <v>0.56100000000000005</v>
      </c>
    </row>
    <row r="30" spans="1:5" x14ac:dyDescent="0.2">
      <c r="A30" s="3" t="s">
        <v>34</v>
      </c>
      <c r="B30" s="5">
        <f>nba_team_financials!C31/nba_team_financials!E31</f>
        <v>15454545.454545455</v>
      </c>
      <c r="C30" s="6">
        <f>nba_team_financials!E31/(nba_team_financials!B31/1000000)</f>
        <v>0.12708143285216664</v>
      </c>
      <c r="D30" s="4">
        <f>nba_team_financials!C31/nba_team_financials!B31</f>
        <v>1.9639857804425753</v>
      </c>
      <c r="E30" s="24">
        <f>nba_team_financials!G31</f>
        <v>0.26800000000000002</v>
      </c>
    </row>
    <row r="31" spans="1:5" x14ac:dyDescent="0.2">
      <c r="A31" s="3" t="s">
        <v>35</v>
      </c>
      <c r="B31" s="5">
        <f>nba_team_financials!C32/nba_team_financials!E32</f>
        <v>22882352.94117647</v>
      </c>
      <c r="C31" s="6">
        <f>nba_team_financials!E32/(nba_team_financials!B32/1000000)</f>
        <v>7.3265315337343442E-2</v>
      </c>
      <c r="D31" s="4">
        <f>nba_team_financials!C32/nba_team_financials!B32</f>
        <v>1.6764828038956823</v>
      </c>
      <c r="E31" s="24">
        <f>nba_team_financials!G32</f>
        <v>0.20699999999999999</v>
      </c>
    </row>
    <row r="32" spans="1:5" x14ac:dyDescent="0.2">
      <c r="A32" s="17"/>
    </row>
    <row r="33" spans="1:7" ht="16" thickBot="1" x14ac:dyDescent="0.25">
      <c r="A33" s="17"/>
    </row>
    <row r="34" spans="1:7" x14ac:dyDescent="0.2">
      <c r="A34" s="57" t="s">
        <v>1</v>
      </c>
      <c r="B34" s="58" t="s">
        <v>55</v>
      </c>
      <c r="C34" s="58" t="s">
        <v>56</v>
      </c>
      <c r="D34" s="58" t="s">
        <v>57</v>
      </c>
      <c r="E34" s="58" t="s">
        <v>62</v>
      </c>
      <c r="F34" s="58" t="s">
        <v>58</v>
      </c>
      <c r="G34" s="59" t="s">
        <v>59</v>
      </c>
    </row>
    <row r="35" spans="1:7" x14ac:dyDescent="0.2">
      <c r="A35" s="15" t="str">
        <f>A2</f>
        <v>Atlanta Hawks</v>
      </c>
      <c r="B35" s="7">
        <f t="shared" ref="B35:B64" si="0">_xlfn.RANK.EQ(B2,$B$2:$B$31,0)</f>
        <v>15</v>
      </c>
      <c r="C35" s="7">
        <f t="shared" ref="C35:C64" si="1">_xlfn.RANK.EQ(C2,$C$2:$C$31,0)</f>
        <v>10</v>
      </c>
      <c r="D35" s="8">
        <f t="shared" ref="D35:D64" si="2">_xlfn.RANK.EQ(D2,$D$2:$D$31,0)</f>
        <v>6</v>
      </c>
      <c r="E35" s="8">
        <f t="shared" ref="E35:E64" si="3">_xlfn.RANK.EQ(E2,$E$2:$E$31,0)</f>
        <v>11</v>
      </c>
      <c r="F35" s="9">
        <f>(C35*0.3)+(D35*0.3)+(B35*0.15)+(E35*0.25)</f>
        <v>9.8000000000000007</v>
      </c>
      <c r="G35" s="10">
        <f>_xlfn.RANK.EQ(F35,$F$35:$F$64,1)</f>
        <v>6</v>
      </c>
    </row>
    <row r="36" spans="1:7" x14ac:dyDescent="0.2">
      <c r="A36" s="15" t="str">
        <f t="shared" ref="A36:A63" si="4">A3</f>
        <v>Boston Celtics</v>
      </c>
      <c r="B36" s="7">
        <f t="shared" si="0"/>
        <v>23</v>
      </c>
      <c r="C36" s="7">
        <f t="shared" si="1"/>
        <v>4</v>
      </c>
      <c r="D36" s="8">
        <f t="shared" si="2"/>
        <v>8</v>
      </c>
      <c r="E36" s="8">
        <f t="shared" si="3"/>
        <v>4</v>
      </c>
      <c r="F36" s="9">
        <f t="shared" ref="F36:F64" si="5">(C36*0.3)+(D36*0.3)+(B36*0.15)+(E36*0.25)</f>
        <v>8.0499999999999989</v>
      </c>
      <c r="G36" s="10">
        <f t="shared" ref="G36:G64" si="6">_xlfn.RANK.EQ(F36,$F$35:$F$64,1)</f>
        <v>3</v>
      </c>
    </row>
    <row r="37" spans="1:7" x14ac:dyDescent="0.2">
      <c r="A37" s="15" t="str">
        <f t="shared" si="4"/>
        <v>Brooklyn Nets</v>
      </c>
      <c r="B37" s="7">
        <f t="shared" si="0"/>
        <v>3</v>
      </c>
      <c r="C37" s="7">
        <f t="shared" si="1"/>
        <v>24</v>
      </c>
      <c r="D37" s="8">
        <f t="shared" si="2"/>
        <v>3</v>
      </c>
      <c r="E37" s="8">
        <f t="shared" si="3"/>
        <v>28</v>
      </c>
      <c r="F37" s="9">
        <f t="shared" si="5"/>
        <v>15.549999999999999</v>
      </c>
      <c r="G37" s="10">
        <f t="shared" si="6"/>
        <v>17</v>
      </c>
    </row>
    <row r="38" spans="1:7" x14ac:dyDescent="0.2">
      <c r="A38" s="15" t="str">
        <f t="shared" si="4"/>
        <v>Charlotte Hornets</v>
      </c>
      <c r="B38" s="7">
        <f t="shared" si="0"/>
        <v>24</v>
      </c>
      <c r="C38" s="7">
        <f t="shared" si="1"/>
        <v>9</v>
      </c>
      <c r="D38" s="8">
        <f t="shared" si="2"/>
        <v>23</v>
      </c>
      <c r="E38" s="8">
        <f t="shared" si="3"/>
        <v>16</v>
      </c>
      <c r="F38" s="9">
        <f t="shared" si="5"/>
        <v>17.2</v>
      </c>
      <c r="G38" s="10">
        <f t="shared" si="6"/>
        <v>19</v>
      </c>
    </row>
    <row r="39" spans="1:7" x14ac:dyDescent="0.2">
      <c r="A39" s="15" t="str">
        <f t="shared" si="4"/>
        <v>Chicago Bulls</v>
      </c>
      <c r="B39" s="7">
        <f t="shared" si="0"/>
        <v>8</v>
      </c>
      <c r="C39" s="7">
        <f t="shared" si="1"/>
        <v>21</v>
      </c>
      <c r="D39" s="8">
        <f t="shared" si="2"/>
        <v>10</v>
      </c>
      <c r="E39" s="8">
        <f t="shared" si="3"/>
        <v>22</v>
      </c>
      <c r="F39" s="9">
        <f t="shared" si="5"/>
        <v>16</v>
      </c>
      <c r="G39" s="10">
        <f t="shared" si="6"/>
        <v>18</v>
      </c>
    </row>
    <row r="40" spans="1:7" x14ac:dyDescent="0.2">
      <c r="A40" s="15" t="str">
        <f t="shared" si="4"/>
        <v>Cleveland Cavaliers</v>
      </c>
      <c r="B40" s="7">
        <f t="shared" si="0"/>
        <v>21</v>
      </c>
      <c r="C40" s="7">
        <f t="shared" si="1"/>
        <v>13</v>
      </c>
      <c r="D40" s="8">
        <f t="shared" si="2"/>
        <v>18</v>
      </c>
      <c r="E40" s="8">
        <f t="shared" si="3"/>
        <v>8</v>
      </c>
      <c r="F40" s="9">
        <f t="shared" si="5"/>
        <v>14.45</v>
      </c>
      <c r="G40" s="10">
        <f t="shared" si="6"/>
        <v>14</v>
      </c>
    </row>
    <row r="41" spans="1:7" x14ac:dyDescent="0.2">
      <c r="A41" s="15" t="str">
        <f t="shared" si="4"/>
        <v>Dallas Mavericks</v>
      </c>
      <c r="B41" s="7">
        <f t="shared" si="0"/>
        <v>6</v>
      </c>
      <c r="C41" s="7">
        <f t="shared" si="1"/>
        <v>25</v>
      </c>
      <c r="D41" s="8">
        <f t="shared" si="2"/>
        <v>14</v>
      </c>
      <c r="E41" s="8">
        <f t="shared" si="3"/>
        <v>23</v>
      </c>
      <c r="F41" s="9">
        <f t="shared" si="5"/>
        <v>18.350000000000001</v>
      </c>
      <c r="G41" s="10">
        <f t="shared" si="6"/>
        <v>21</v>
      </c>
    </row>
    <row r="42" spans="1:7" x14ac:dyDescent="0.2">
      <c r="A42" s="15" t="str">
        <f t="shared" si="4"/>
        <v>Denver Nuggets</v>
      </c>
      <c r="B42" s="7">
        <f t="shared" si="0"/>
        <v>26</v>
      </c>
      <c r="C42" s="7">
        <f t="shared" si="1"/>
        <v>5</v>
      </c>
      <c r="D42" s="8">
        <f t="shared" si="2"/>
        <v>22</v>
      </c>
      <c r="E42" s="8">
        <f t="shared" si="3"/>
        <v>5</v>
      </c>
      <c r="F42" s="9">
        <f t="shared" si="5"/>
        <v>13.25</v>
      </c>
      <c r="G42" s="10">
        <f t="shared" si="6"/>
        <v>11</v>
      </c>
    </row>
    <row r="43" spans="1:7" x14ac:dyDescent="0.2">
      <c r="A43" s="15" t="str">
        <f t="shared" si="4"/>
        <v>Detroit Pistons</v>
      </c>
      <c r="B43" s="7">
        <f t="shared" si="0"/>
        <v>30</v>
      </c>
      <c r="C43" s="7">
        <f t="shared" si="1"/>
        <v>3</v>
      </c>
      <c r="D43" s="8">
        <f t="shared" si="2"/>
        <v>26</v>
      </c>
      <c r="E43" s="8">
        <f t="shared" si="3"/>
        <v>3</v>
      </c>
      <c r="F43" s="9">
        <f t="shared" si="5"/>
        <v>13.95</v>
      </c>
      <c r="G43" s="10">
        <f t="shared" si="6"/>
        <v>13</v>
      </c>
    </row>
    <row r="44" spans="1:7" x14ac:dyDescent="0.2">
      <c r="A44" s="15" t="str">
        <f t="shared" si="4"/>
        <v>Golden State Warriors</v>
      </c>
      <c r="B44" s="7">
        <f t="shared" si="0"/>
        <v>1</v>
      </c>
      <c r="C44" s="7">
        <f t="shared" si="1"/>
        <v>23</v>
      </c>
      <c r="D44" s="8">
        <f t="shared" si="2"/>
        <v>1</v>
      </c>
      <c r="E44" s="8">
        <f t="shared" si="3"/>
        <v>20</v>
      </c>
      <c r="F44" s="9">
        <f t="shared" si="5"/>
        <v>12.35</v>
      </c>
      <c r="G44" s="10">
        <f t="shared" si="6"/>
        <v>10</v>
      </c>
    </row>
    <row r="45" spans="1:7" x14ac:dyDescent="0.2">
      <c r="A45" s="15" t="str">
        <f t="shared" si="4"/>
        <v>Houston Rockets</v>
      </c>
      <c r="B45" s="7">
        <f t="shared" si="0"/>
        <v>19</v>
      </c>
      <c r="C45" s="7">
        <f t="shared" si="1"/>
        <v>6</v>
      </c>
      <c r="D45" s="8">
        <f t="shared" si="2"/>
        <v>9</v>
      </c>
      <c r="E45" s="8">
        <f t="shared" si="3"/>
        <v>8</v>
      </c>
      <c r="F45" s="9">
        <f t="shared" si="5"/>
        <v>9.35</v>
      </c>
      <c r="G45" s="10">
        <f t="shared" si="6"/>
        <v>5</v>
      </c>
    </row>
    <row r="46" spans="1:7" x14ac:dyDescent="0.2">
      <c r="A46" s="15" t="str">
        <f t="shared" si="4"/>
        <v>Indiana Pacers</v>
      </c>
      <c r="B46" s="7">
        <f t="shared" si="0"/>
        <v>4</v>
      </c>
      <c r="C46" s="7">
        <f t="shared" si="1"/>
        <v>29</v>
      </c>
      <c r="D46" s="8">
        <f t="shared" si="2"/>
        <v>24</v>
      </c>
      <c r="E46" s="8">
        <f t="shared" si="3"/>
        <v>29</v>
      </c>
      <c r="F46" s="9">
        <f t="shared" si="5"/>
        <v>23.75</v>
      </c>
      <c r="G46" s="10">
        <f t="shared" si="6"/>
        <v>27</v>
      </c>
    </row>
    <row r="47" spans="1:7" x14ac:dyDescent="0.2">
      <c r="A47" s="15" t="str">
        <f t="shared" si="4"/>
        <v>Los Angeles Clippers</v>
      </c>
      <c r="B47" s="7">
        <f t="shared" si="0"/>
        <v>9</v>
      </c>
      <c r="C47" s="7">
        <f t="shared" si="1"/>
        <v>19</v>
      </c>
      <c r="D47" s="8">
        <f t="shared" si="2"/>
        <v>2</v>
      </c>
      <c r="E47" s="8">
        <f t="shared" si="3"/>
        <v>18</v>
      </c>
      <c r="F47" s="9">
        <f t="shared" si="5"/>
        <v>12.149999999999999</v>
      </c>
      <c r="G47" s="10">
        <f t="shared" si="6"/>
        <v>9</v>
      </c>
    </row>
    <row r="48" spans="1:7" x14ac:dyDescent="0.2">
      <c r="A48" s="15" t="str">
        <f t="shared" si="4"/>
        <v>Los Angeles Lakers</v>
      </c>
      <c r="B48" s="7">
        <f t="shared" si="0"/>
        <v>14</v>
      </c>
      <c r="C48" s="7">
        <f t="shared" si="1"/>
        <v>8</v>
      </c>
      <c r="D48" s="8">
        <f t="shared" si="2"/>
        <v>4</v>
      </c>
      <c r="E48" s="8">
        <f t="shared" si="3"/>
        <v>6</v>
      </c>
      <c r="F48" s="9">
        <f t="shared" si="5"/>
        <v>7.1999999999999993</v>
      </c>
      <c r="G48" s="10">
        <f t="shared" si="6"/>
        <v>1</v>
      </c>
    </row>
    <row r="49" spans="1:7" x14ac:dyDescent="0.2">
      <c r="A49" s="15" t="str">
        <f t="shared" si="4"/>
        <v>Memphis Grizzlies</v>
      </c>
      <c r="B49" s="7">
        <f t="shared" si="0"/>
        <v>10</v>
      </c>
      <c r="C49" s="7">
        <f t="shared" si="1"/>
        <v>22</v>
      </c>
      <c r="D49" s="8">
        <f t="shared" si="2"/>
        <v>19</v>
      </c>
      <c r="E49" s="8">
        <f t="shared" si="3"/>
        <v>25</v>
      </c>
      <c r="F49" s="9">
        <f t="shared" si="5"/>
        <v>20.05</v>
      </c>
      <c r="G49" s="10">
        <f t="shared" si="6"/>
        <v>25</v>
      </c>
    </row>
    <row r="50" spans="1:7" x14ac:dyDescent="0.2">
      <c r="A50" s="15" t="str">
        <f t="shared" si="4"/>
        <v>Miami Heat</v>
      </c>
      <c r="B50" s="7">
        <f t="shared" si="0"/>
        <v>18</v>
      </c>
      <c r="C50" s="7">
        <f t="shared" si="1"/>
        <v>15</v>
      </c>
      <c r="D50" s="8">
        <f t="shared" si="2"/>
        <v>13</v>
      </c>
      <c r="E50" s="8">
        <f t="shared" si="3"/>
        <v>17</v>
      </c>
      <c r="F50" s="9">
        <f t="shared" si="5"/>
        <v>15.35</v>
      </c>
      <c r="G50" s="10">
        <f t="shared" si="6"/>
        <v>16</v>
      </c>
    </row>
    <row r="51" spans="1:7" x14ac:dyDescent="0.2">
      <c r="A51" s="15" t="str">
        <f t="shared" si="4"/>
        <v>Milwaukee Bucks</v>
      </c>
      <c r="B51" s="7">
        <f t="shared" si="0"/>
        <v>12</v>
      </c>
      <c r="C51" s="7">
        <f t="shared" si="1"/>
        <v>20</v>
      </c>
      <c r="D51" s="8">
        <f t="shared" si="2"/>
        <v>16</v>
      </c>
      <c r="E51" s="8">
        <f t="shared" si="3"/>
        <v>21</v>
      </c>
      <c r="F51" s="9">
        <f t="shared" si="5"/>
        <v>17.850000000000001</v>
      </c>
      <c r="G51" s="10">
        <f t="shared" si="6"/>
        <v>20</v>
      </c>
    </row>
    <row r="52" spans="1:7" x14ac:dyDescent="0.2">
      <c r="A52" s="15" t="str">
        <f t="shared" si="4"/>
        <v>Minnesota Timberwolves</v>
      </c>
      <c r="B52" s="7">
        <f t="shared" si="0"/>
        <v>27</v>
      </c>
      <c r="C52" s="7">
        <f t="shared" si="1"/>
        <v>17</v>
      </c>
      <c r="D52" s="8">
        <f t="shared" si="2"/>
        <v>30</v>
      </c>
      <c r="E52" s="8">
        <f t="shared" si="3"/>
        <v>10</v>
      </c>
      <c r="F52" s="9">
        <f t="shared" si="5"/>
        <v>20.65</v>
      </c>
      <c r="G52" s="10">
        <f t="shared" si="6"/>
        <v>26</v>
      </c>
    </row>
    <row r="53" spans="1:7" x14ac:dyDescent="0.2">
      <c r="A53" s="15" t="str">
        <f t="shared" si="4"/>
        <v>New Orleans Pelicans</v>
      </c>
      <c r="B53" s="7">
        <f t="shared" si="0"/>
        <v>11</v>
      </c>
      <c r="C53" s="7">
        <f t="shared" si="1"/>
        <v>27</v>
      </c>
      <c r="D53" s="8">
        <f t="shared" si="2"/>
        <v>29</v>
      </c>
      <c r="E53" s="8">
        <f t="shared" si="3"/>
        <v>23</v>
      </c>
      <c r="F53" s="9">
        <f t="shared" si="5"/>
        <v>24.199999999999996</v>
      </c>
      <c r="G53" s="10">
        <f t="shared" si="6"/>
        <v>29</v>
      </c>
    </row>
    <row r="54" spans="1:7" x14ac:dyDescent="0.2">
      <c r="A54" s="15" t="str">
        <f t="shared" si="4"/>
        <v>New York Knicks</v>
      </c>
      <c r="B54" s="7">
        <f t="shared" si="0"/>
        <v>17</v>
      </c>
      <c r="C54" s="7">
        <f t="shared" si="1"/>
        <v>7</v>
      </c>
      <c r="D54" s="8">
        <f t="shared" si="2"/>
        <v>5</v>
      </c>
      <c r="E54" s="8">
        <f t="shared" si="3"/>
        <v>6</v>
      </c>
      <c r="F54" s="9">
        <f t="shared" si="5"/>
        <v>7.65</v>
      </c>
      <c r="G54" s="10">
        <f t="shared" si="6"/>
        <v>2</v>
      </c>
    </row>
    <row r="55" spans="1:7" x14ac:dyDescent="0.2">
      <c r="A55" s="15" t="str">
        <f t="shared" si="4"/>
        <v>Oklahoma City Thunder</v>
      </c>
      <c r="B55" s="7">
        <f t="shared" si="0"/>
        <v>29</v>
      </c>
      <c r="C55" s="7">
        <f t="shared" si="1"/>
        <v>1</v>
      </c>
      <c r="D55" s="8">
        <f t="shared" si="2"/>
        <v>20</v>
      </c>
      <c r="E55" s="8">
        <f t="shared" si="3"/>
        <v>1</v>
      </c>
      <c r="F55" s="9">
        <f t="shared" si="5"/>
        <v>10.899999999999999</v>
      </c>
      <c r="G55" s="10">
        <f t="shared" si="6"/>
        <v>7</v>
      </c>
    </row>
    <row r="56" spans="1:7" x14ac:dyDescent="0.2">
      <c r="A56" s="15" t="str">
        <f t="shared" si="4"/>
        <v>Orlando Magic</v>
      </c>
      <c r="B56" s="7">
        <f t="shared" si="0"/>
        <v>25</v>
      </c>
      <c r="C56" s="7">
        <f t="shared" si="1"/>
        <v>12</v>
      </c>
      <c r="D56" s="8">
        <f t="shared" si="2"/>
        <v>28</v>
      </c>
      <c r="E56" s="8">
        <f t="shared" si="3"/>
        <v>13</v>
      </c>
      <c r="F56" s="9">
        <f t="shared" si="5"/>
        <v>19</v>
      </c>
      <c r="G56" s="10">
        <f t="shared" si="6"/>
        <v>22</v>
      </c>
    </row>
    <row r="57" spans="1:7" x14ac:dyDescent="0.2">
      <c r="A57" s="15" t="str">
        <f t="shared" si="4"/>
        <v>Philadelphia 76ers</v>
      </c>
      <c r="B57" s="7">
        <f t="shared" si="0"/>
        <v>13</v>
      </c>
      <c r="C57" s="7">
        <f t="shared" si="1"/>
        <v>14</v>
      </c>
      <c r="D57" s="8">
        <f t="shared" si="2"/>
        <v>7</v>
      </c>
      <c r="E57" s="8">
        <f t="shared" si="3"/>
        <v>13</v>
      </c>
      <c r="F57" s="9">
        <f t="shared" si="5"/>
        <v>11.5</v>
      </c>
      <c r="G57" s="10">
        <f t="shared" si="6"/>
        <v>8</v>
      </c>
    </row>
    <row r="58" spans="1:7" x14ac:dyDescent="0.2">
      <c r="A58" s="15" t="str">
        <f t="shared" si="4"/>
        <v>Phoenix Suns</v>
      </c>
      <c r="B58" s="7">
        <f t="shared" si="0"/>
        <v>16</v>
      </c>
      <c r="C58" s="7">
        <f t="shared" si="1"/>
        <v>16</v>
      </c>
      <c r="D58" s="8">
        <f t="shared" si="2"/>
        <v>11</v>
      </c>
      <c r="E58" s="8">
        <f t="shared" si="3"/>
        <v>13</v>
      </c>
      <c r="F58" s="9">
        <f t="shared" si="5"/>
        <v>13.75</v>
      </c>
      <c r="G58" s="10">
        <f t="shared" si="6"/>
        <v>12</v>
      </c>
    </row>
    <row r="59" spans="1:7" x14ac:dyDescent="0.2">
      <c r="A59" s="15" t="str">
        <f>A26</f>
        <v>Portland Trail Blazers</v>
      </c>
      <c r="B59" s="7">
        <f t="shared" si="0"/>
        <v>20</v>
      </c>
      <c r="C59" s="7">
        <f t="shared" si="1"/>
        <v>18</v>
      </c>
      <c r="D59" s="8">
        <f t="shared" si="2"/>
        <v>21</v>
      </c>
      <c r="E59" s="8">
        <f t="shared" si="3"/>
        <v>18</v>
      </c>
      <c r="F59" s="9">
        <f t="shared" si="5"/>
        <v>19.2</v>
      </c>
      <c r="G59" s="10">
        <f t="shared" si="6"/>
        <v>23</v>
      </c>
    </row>
    <row r="60" spans="1:7" x14ac:dyDescent="0.2">
      <c r="A60" s="15" t="str">
        <f t="shared" si="4"/>
        <v>Sacramento Kings</v>
      </c>
      <c r="B60" s="7">
        <f t="shared" si="0"/>
        <v>5</v>
      </c>
      <c r="C60" s="7">
        <f t="shared" si="1"/>
        <v>28</v>
      </c>
      <c r="D60" s="8">
        <f t="shared" si="2"/>
        <v>27</v>
      </c>
      <c r="E60" s="8">
        <f t="shared" si="3"/>
        <v>26</v>
      </c>
      <c r="F60" s="9">
        <f t="shared" si="5"/>
        <v>23.75</v>
      </c>
      <c r="G60" s="10">
        <f t="shared" si="6"/>
        <v>27</v>
      </c>
    </row>
    <row r="61" spans="1:7" x14ac:dyDescent="0.2">
      <c r="A61" s="15" t="str">
        <f t="shared" si="4"/>
        <v>San Antonio Spurs</v>
      </c>
      <c r="B61" s="7">
        <f t="shared" si="0"/>
        <v>28</v>
      </c>
      <c r="C61" s="7">
        <f t="shared" si="1"/>
        <v>2</v>
      </c>
      <c r="D61" s="8">
        <f t="shared" si="2"/>
        <v>12</v>
      </c>
      <c r="E61" s="8">
        <f t="shared" si="3"/>
        <v>2</v>
      </c>
      <c r="F61" s="9">
        <f t="shared" si="5"/>
        <v>8.8999999999999986</v>
      </c>
      <c r="G61" s="10">
        <f t="shared" si="6"/>
        <v>4</v>
      </c>
    </row>
    <row r="62" spans="1:7" x14ac:dyDescent="0.2">
      <c r="A62" s="15" t="str">
        <f t="shared" si="4"/>
        <v>Toronto Raptors</v>
      </c>
      <c r="B62" s="7">
        <f t="shared" si="0"/>
        <v>22</v>
      </c>
      <c r="C62" s="7">
        <f t="shared" si="1"/>
        <v>11</v>
      </c>
      <c r="D62" s="8">
        <f t="shared" si="2"/>
        <v>17</v>
      </c>
      <c r="E62" s="8">
        <f t="shared" si="3"/>
        <v>11</v>
      </c>
      <c r="F62" s="9">
        <f t="shared" si="5"/>
        <v>14.45</v>
      </c>
      <c r="G62" s="10">
        <f t="shared" si="6"/>
        <v>14</v>
      </c>
    </row>
    <row r="63" spans="1:7" x14ac:dyDescent="0.2">
      <c r="A63" s="15" t="str">
        <f t="shared" si="4"/>
        <v>Utah Jazz</v>
      </c>
      <c r="B63" s="7">
        <f t="shared" si="0"/>
        <v>7</v>
      </c>
      <c r="C63" s="7">
        <f t="shared" si="1"/>
        <v>26</v>
      </c>
      <c r="D63" s="8">
        <f t="shared" si="2"/>
        <v>15</v>
      </c>
      <c r="E63" s="8">
        <f t="shared" si="3"/>
        <v>26</v>
      </c>
      <c r="F63" s="9">
        <f t="shared" si="5"/>
        <v>19.850000000000001</v>
      </c>
      <c r="G63" s="10">
        <f t="shared" si="6"/>
        <v>24</v>
      </c>
    </row>
    <row r="64" spans="1:7" ht="16" thickBot="1" x14ac:dyDescent="0.25">
      <c r="A64" s="16" t="str">
        <f>A31</f>
        <v>Washington Wizards</v>
      </c>
      <c r="B64" s="11">
        <f t="shared" si="0"/>
        <v>2</v>
      </c>
      <c r="C64" s="11">
        <f t="shared" si="1"/>
        <v>30</v>
      </c>
      <c r="D64" s="12">
        <f t="shared" si="2"/>
        <v>25</v>
      </c>
      <c r="E64" s="8">
        <f t="shared" si="3"/>
        <v>30</v>
      </c>
      <c r="F64" s="9">
        <f t="shared" si="5"/>
        <v>24.3</v>
      </c>
      <c r="G64" s="10">
        <f t="shared" si="6"/>
        <v>30</v>
      </c>
    </row>
  </sheetData>
  <conditionalFormatting sqref="B35:G64">
    <cfRule type="cellIs" dxfId="1" priority="1" operator="between">
      <formula>1</formula>
      <formula>5</formula>
    </cfRule>
    <cfRule type="cellIs" dxfId="0" priority="2" operator="between">
      <formula>1</formula>
      <formula>5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1EE3-65D7-1F4A-B135-E78EE4B0FE08}">
  <sheetPr>
    <tabColor rgb="FF1F4E79"/>
  </sheetPr>
  <dimension ref="A1:I31"/>
  <sheetViews>
    <sheetView zoomScaleNormal="75" workbookViewId="0">
      <pane ySplit="1" topLeftCell="A2" activePane="bottomLeft" state="frozen"/>
      <selection pane="bottomLeft" activeCell="E29" sqref="E29"/>
    </sheetView>
  </sheetViews>
  <sheetFormatPr baseColWidth="10" defaultRowHeight="15" x14ac:dyDescent="0.2"/>
  <cols>
    <col min="1" max="1" width="20.33203125" style="3" customWidth="1"/>
    <col min="2" max="5" width="10.83203125" style="3"/>
    <col min="6" max="6" width="15.5" style="3" customWidth="1"/>
    <col min="7" max="7" width="38.83203125" style="3" customWidth="1"/>
    <col min="8" max="8" width="13.1640625" style="3" customWidth="1"/>
    <col min="9" max="9" width="9.6640625" style="3" customWidth="1"/>
    <col min="10" max="16384" width="10.83203125" style="3"/>
  </cols>
  <sheetData>
    <row r="1" spans="1:9" x14ac:dyDescent="0.2">
      <c r="A1" s="51" t="s">
        <v>1</v>
      </c>
      <c r="B1" s="51" t="s">
        <v>58</v>
      </c>
      <c r="C1" s="51" t="s">
        <v>59</v>
      </c>
      <c r="D1" s="52" t="s">
        <v>62</v>
      </c>
      <c r="F1" s="47" t="s">
        <v>47</v>
      </c>
      <c r="G1" s="47" t="s">
        <v>48</v>
      </c>
      <c r="H1" s="47" t="s">
        <v>54</v>
      </c>
      <c r="I1" s="47" t="s">
        <v>61</v>
      </c>
    </row>
    <row r="2" spans="1:9" x14ac:dyDescent="0.2">
      <c r="A2" s="54" t="str">
        <f xml:space="preserve"> Calculations!A48</f>
        <v>Los Angeles Lakers</v>
      </c>
      <c r="B2" s="55">
        <f>Calculations!F48</f>
        <v>7.1999999999999993</v>
      </c>
      <c r="C2" s="56">
        <f>Calculations!G48</f>
        <v>1</v>
      </c>
      <c r="D2" s="56">
        <f>Calculations!E48</f>
        <v>6</v>
      </c>
      <c r="F2" s="3" t="s">
        <v>55</v>
      </c>
      <c r="G2" s="3" t="s">
        <v>49</v>
      </c>
      <c r="H2" s="3" t="s">
        <v>51</v>
      </c>
      <c r="I2" s="18">
        <v>0.15</v>
      </c>
    </row>
    <row r="3" spans="1:9" x14ac:dyDescent="0.2">
      <c r="A3" s="7" t="str">
        <f xml:space="preserve"> Calculations!A54</f>
        <v>New York Knicks</v>
      </c>
      <c r="B3" s="53">
        <f>Calculations!F54</f>
        <v>7.65</v>
      </c>
      <c r="C3" s="7">
        <f>Calculations!G54</f>
        <v>2</v>
      </c>
      <c r="D3" s="7">
        <f>Calculations!E54</f>
        <v>6</v>
      </c>
      <c r="F3" s="3" t="s">
        <v>56</v>
      </c>
      <c r="G3" s="3" t="s">
        <v>52</v>
      </c>
      <c r="H3" s="3" t="s">
        <v>51</v>
      </c>
      <c r="I3" s="18">
        <v>0.3</v>
      </c>
    </row>
    <row r="4" spans="1:9" x14ac:dyDescent="0.2">
      <c r="A4" s="7" t="str">
        <f xml:space="preserve"> Calculations!A36</f>
        <v>Boston Celtics</v>
      </c>
      <c r="B4" s="53">
        <f>Calculations!F36</f>
        <v>8.0499999999999989</v>
      </c>
      <c r="C4" s="7">
        <f>Calculations!G36</f>
        <v>3</v>
      </c>
      <c r="D4" s="7">
        <f>Calculations!E36</f>
        <v>4</v>
      </c>
      <c r="F4" s="3" t="s">
        <v>57</v>
      </c>
      <c r="G4" s="3" t="s">
        <v>53</v>
      </c>
      <c r="H4" s="3" t="s">
        <v>51</v>
      </c>
      <c r="I4" s="18">
        <v>0.3</v>
      </c>
    </row>
    <row r="5" spans="1:9" x14ac:dyDescent="0.2">
      <c r="A5" s="7" t="str">
        <f xml:space="preserve"> Calculations!A61</f>
        <v>San Antonio Spurs</v>
      </c>
      <c r="B5" s="53">
        <f>Calculations!F61</f>
        <v>8.8999999999999986</v>
      </c>
      <c r="C5" s="7">
        <f>Calculations!G61</f>
        <v>4</v>
      </c>
      <c r="D5" s="7">
        <f>Calculations!E61</f>
        <v>2</v>
      </c>
      <c r="F5" s="3" t="s">
        <v>62</v>
      </c>
      <c r="G5" s="3" t="s">
        <v>63</v>
      </c>
      <c r="H5" s="3" t="s">
        <v>51</v>
      </c>
      <c r="I5" s="18">
        <v>0.25</v>
      </c>
    </row>
    <row r="6" spans="1:9" x14ac:dyDescent="0.2">
      <c r="A6" s="7" t="str">
        <f xml:space="preserve"> Calculations!A45</f>
        <v>Houston Rockets</v>
      </c>
      <c r="B6" s="53">
        <f>Calculations!F45</f>
        <v>9.35</v>
      </c>
      <c r="C6" s="7">
        <f>Calculations!G45</f>
        <v>5</v>
      </c>
      <c r="D6" s="7">
        <f>Calculations!E45</f>
        <v>8</v>
      </c>
      <c r="F6" s="3" t="s">
        <v>58</v>
      </c>
      <c r="G6" s="3" t="s">
        <v>72</v>
      </c>
      <c r="H6" s="3" t="s">
        <v>50</v>
      </c>
      <c r="I6" s="3" t="s">
        <v>64</v>
      </c>
    </row>
    <row r="7" spans="1:9" x14ac:dyDescent="0.2">
      <c r="A7" s="7" t="str">
        <f xml:space="preserve"> Calculations!A35</f>
        <v>Atlanta Hawks</v>
      </c>
      <c r="B7" s="53">
        <f>Calculations!F35</f>
        <v>9.8000000000000007</v>
      </c>
      <c r="C7" s="7">
        <f>Calculations!G35</f>
        <v>6</v>
      </c>
      <c r="D7" s="7">
        <f>Calculations!E35</f>
        <v>11</v>
      </c>
      <c r="F7" s="3" t="s">
        <v>59</v>
      </c>
      <c r="G7" s="3" t="s">
        <v>60</v>
      </c>
      <c r="H7" s="3" t="s">
        <v>50</v>
      </c>
      <c r="I7" s="3" t="s">
        <v>64</v>
      </c>
    </row>
    <row r="8" spans="1:9" x14ac:dyDescent="0.2">
      <c r="A8" s="7" t="str">
        <f xml:space="preserve"> Calculations!A55</f>
        <v>Oklahoma City Thunder</v>
      </c>
      <c r="B8" s="53">
        <f>Calculations!F55</f>
        <v>10.899999999999999</v>
      </c>
      <c r="C8" s="7">
        <f>Calculations!G55</f>
        <v>7</v>
      </c>
      <c r="D8" s="7">
        <f>Calculations!E55</f>
        <v>1</v>
      </c>
    </row>
    <row r="9" spans="1:9" x14ac:dyDescent="0.2">
      <c r="A9" s="7" t="str">
        <f xml:space="preserve"> Calculations!A57</f>
        <v>Philadelphia 76ers</v>
      </c>
      <c r="B9" s="53">
        <f>Calculations!F57</f>
        <v>11.5</v>
      </c>
      <c r="C9" s="7">
        <f>Calculations!G57</f>
        <v>8</v>
      </c>
      <c r="D9" s="7">
        <f>Calculations!E57</f>
        <v>13</v>
      </c>
    </row>
    <row r="10" spans="1:9" x14ac:dyDescent="0.2">
      <c r="A10" s="7" t="str">
        <f xml:space="preserve"> Calculations!A47</f>
        <v>Los Angeles Clippers</v>
      </c>
      <c r="B10" s="53">
        <f>Calculations!F47</f>
        <v>12.149999999999999</v>
      </c>
      <c r="C10" s="7">
        <f>Calculations!G47</f>
        <v>9</v>
      </c>
      <c r="D10" s="7">
        <f>Calculations!E47</f>
        <v>18</v>
      </c>
    </row>
    <row r="11" spans="1:9" x14ac:dyDescent="0.2">
      <c r="A11" s="7" t="str">
        <f xml:space="preserve"> Calculations!A44</f>
        <v>Golden State Warriors</v>
      </c>
      <c r="B11" s="53">
        <f>Calculations!F44</f>
        <v>12.35</v>
      </c>
      <c r="C11" s="7">
        <f>Calculations!G44</f>
        <v>10</v>
      </c>
      <c r="D11" s="7">
        <f>Calculations!E44</f>
        <v>20</v>
      </c>
    </row>
    <row r="12" spans="1:9" x14ac:dyDescent="0.2">
      <c r="A12" s="7" t="str">
        <f xml:space="preserve"> Calculations!A42</f>
        <v>Denver Nuggets</v>
      </c>
      <c r="B12" s="53">
        <f>Calculations!F42</f>
        <v>13.25</v>
      </c>
      <c r="C12" s="7">
        <f>Calculations!G42</f>
        <v>11</v>
      </c>
      <c r="D12" s="7">
        <f>Calculations!E42</f>
        <v>5</v>
      </c>
    </row>
    <row r="13" spans="1:9" x14ac:dyDescent="0.2">
      <c r="A13" s="7" t="str">
        <f xml:space="preserve"> Calculations!A58</f>
        <v>Phoenix Suns</v>
      </c>
      <c r="B13" s="53">
        <f>Calculations!F58</f>
        <v>13.75</v>
      </c>
      <c r="C13" s="7">
        <f>Calculations!G58</f>
        <v>12</v>
      </c>
      <c r="D13" s="7">
        <f>Calculations!E58</f>
        <v>13</v>
      </c>
    </row>
    <row r="14" spans="1:9" x14ac:dyDescent="0.2">
      <c r="A14" s="7" t="str">
        <f xml:space="preserve"> Calculations!A43</f>
        <v>Detroit Pistons</v>
      </c>
      <c r="B14" s="53">
        <f>Calculations!F43</f>
        <v>13.95</v>
      </c>
      <c r="C14" s="7">
        <f>Calculations!G43</f>
        <v>13</v>
      </c>
      <c r="D14" s="7">
        <f>Calculations!E43</f>
        <v>3</v>
      </c>
    </row>
    <row r="15" spans="1:9" x14ac:dyDescent="0.2">
      <c r="A15" s="7" t="str">
        <f xml:space="preserve"> Calculations!A62</f>
        <v>Toronto Raptors</v>
      </c>
      <c r="B15" s="53">
        <f>Calculations!F62</f>
        <v>14.45</v>
      </c>
      <c r="C15" s="7">
        <f>Calculations!G62</f>
        <v>14</v>
      </c>
      <c r="D15" s="7">
        <f>Calculations!E62</f>
        <v>11</v>
      </c>
    </row>
    <row r="16" spans="1:9" x14ac:dyDescent="0.2">
      <c r="A16" s="7" t="str">
        <f xml:space="preserve"> Calculations!A40</f>
        <v>Cleveland Cavaliers</v>
      </c>
      <c r="B16" s="53">
        <f>Calculations!F40</f>
        <v>14.45</v>
      </c>
      <c r="C16" s="7">
        <f>Calculations!G40</f>
        <v>14</v>
      </c>
      <c r="D16" s="7">
        <f>Calculations!E40</f>
        <v>8</v>
      </c>
    </row>
    <row r="17" spans="1:4" x14ac:dyDescent="0.2">
      <c r="A17" s="7" t="str">
        <f xml:space="preserve"> Calculations!A50</f>
        <v>Miami Heat</v>
      </c>
      <c r="B17" s="53">
        <f>Calculations!F50</f>
        <v>15.35</v>
      </c>
      <c r="C17" s="7">
        <f>Calculations!G50</f>
        <v>16</v>
      </c>
      <c r="D17" s="7">
        <f>Calculations!E50</f>
        <v>17</v>
      </c>
    </row>
    <row r="18" spans="1:4" x14ac:dyDescent="0.2">
      <c r="A18" s="7" t="str">
        <f xml:space="preserve"> Calculations!A37</f>
        <v>Brooklyn Nets</v>
      </c>
      <c r="B18" s="53">
        <f>Calculations!F37</f>
        <v>15.549999999999999</v>
      </c>
      <c r="C18" s="7">
        <f>Calculations!G37</f>
        <v>17</v>
      </c>
      <c r="D18" s="7">
        <f>Calculations!E37</f>
        <v>28</v>
      </c>
    </row>
    <row r="19" spans="1:4" x14ac:dyDescent="0.2">
      <c r="A19" s="7" t="str">
        <f xml:space="preserve"> Calculations!A39</f>
        <v>Chicago Bulls</v>
      </c>
      <c r="B19" s="53">
        <f>Calculations!F39</f>
        <v>16</v>
      </c>
      <c r="C19" s="7">
        <f>Calculations!G39</f>
        <v>18</v>
      </c>
      <c r="D19" s="7">
        <f>Calculations!E39</f>
        <v>22</v>
      </c>
    </row>
    <row r="20" spans="1:4" x14ac:dyDescent="0.2">
      <c r="A20" s="7" t="str">
        <f xml:space="preserve"> Calculations!A38</f>
        <v>Charlotte Hornets</v>
      </c>
      <c r="B20" s="53">
        <f>Calculations!F38</f>
        <v>17.2</v>
      </c>
      <c r="C20" s="7">
        <f>Calculations!G38</f>
        <v>19</v>
      </c>
      <c r="D20" s="7">
        <f>Calculations!E38</f>
        <v>16</v>
      </c>
    </row>
    <row r="21" spans="1:4" x14ac:dyDescent="0.2">
      <c r="A21" s="7" t="str">
        <f xml:space="preserve"> Calculations!A51</f>
        <v>Milwaukee Bucks</v>
      </c>
      <c r="B21" s="53">
        <f>Calculations!F51</f>
        <v>17.850000000000001</v>
      </c>
      <c r="C21" s="7">
        <f>Calculations!G51</f>
        <v>20</v>
      </c>
      <c r="D21" s="7">
        <f>Calculations!E51</f>
        <v>21</v>
      </c>
    </row>
    <row r="22" spans="1:4" x14ac:dyDescent="0.2">
      <c r="A22" s="7" t="str">
        <f xml:space="preserve"> Calculations!A41</f>
        <v>Dallas Mavericks</v>
      </c>
      <c r="B22" s="53">
        <f>Calculations!F41</f>
        <v>18.350000000000001</v>
      </c>
      <c r="C22" s="7">
        <f>Calculations!G41</f>
        <v>21</v>
      </c>
      <c r="D22" s="7">
        <f>Calculations!E41</f>
        <v>23</v>
      </c>
    </row>
    <row r="23" spans="1:4" x14ac:dyDescent="0.2">
      <c r="A23" s="7" t="str">
        <f xml:space="preserve"> Calculations!A56</f>
        <v>Orlando Magic</v>
      </c>
      <c r="B23" s="53">
        <f>Calculations!F56</f>
        <v>19</v>
      </c>
      <c r="C23" s="7">
        <f>Calculations!G56</f>
        <v>22</v>
      </c>
      <c r="D23" s="7">
        <f>Calculations!E56</f>
        <v>13</v>
      </c>
    </row>
    <row r="24" spans="1:4" x14ac:dyDescent="0.2">
      <c r="A24" s="7" t="str">
        <f xml:space="preserve"> Calculations!A59</f>
        <v>Portland Trail Blazers</v>
      </c>
      <c r="B24" s="53">
        <f>Calculations!F59</f>
        <v>19.2</v>
      </c>
      <c r="C24" s="7">
        <f>Calculations!G59</f>
        <v>23</v>
      </c>
      <c r="D24" s="7">
        <f>Calculations!E59</f>
        <v>18</v>
      </c>
    </row>
    <row r="25" spans="1:4" x14ac:dyDescent="0.2">
      <c r="A25" s="7" t="str">
        <f xml:space="preserve"> Calculations!A63</f>
        <v>Utah Jazz</v>
      </c>
      <c r="B25" s="53">
        <f>Calculations!F63</f>
        <v>19.850000000000001</v>
      </c>
      <c r="C25" s="7">
        <f>Calculations!G63</f>
        <v>24</v>
      </c>
      <c r="D25" s="7">
        <f>Calculations!E63</f>
        <v>26</v>
      </c>
    </row>
    <row r="26" spans="1:4" x14ac:dyDescent="0.2">
      <c r="A26" s="7" t="str">
        <f xml:space="preserve"> Calculations!A49</f>
        <v>Memphis Grizzlies</v>
      </c>
      <c r="B26" s="53">
        <f>Calculations!F49</f>
        <v>20.05</v>
      </c>
      <c r="C26" s="7">
        <f>Calculations!G49</f>
        <v>25</v>
      </c>
      <c r="D26" s="7">
        <f>Calculations!E49</f>
        <v>25</v>
      </c>
    </row>
    <row r="27" spans="1:4" x14ac:dyDescent="0.2">
      <c r="A27" s="7" t="str">
        <f xml:space="preserve"> Calculations!A52</f>
        <v>Minnesota Timberwolves</v>
      </c>
      <c r="B27" s="53">
        <f>Calculations!F52</f>
        <v>20.65</v>
      </c>
      <c r="C27" s="7">
        <f>Calculations!G52</f>
        <v>26</v>
      </c>
      <c r="D27" s="7">
        <f>Calculations!E52</f>
        <v>10</v>
      </c>
    </row>
    <row r="28" spans="1:4" x14ac:dyDescent="0.2">
      <c r="A28" s="7" t="str">
        <f xml:space="preserve"> Calculations!A46</f>
        <v>Indiana Pacers</v>
      </c>
      <c r="B28" s="53">
        <f>Calculations!F46</f>
        <v>23.75</v>
      </c>
      <c r="C28" s="7">
        <f>Calculations!G46</f>
        <v>27</v>
      </c>
      <c r="D28" s="7">
        <f>Calculations!E46</f>
        <v>29</v>
      </c>
    </row>
    <row r="29" spans="1:4" x14ac:dyDescent="0.2">
      <c r="A29" s="7" t="str">
        <f xml:space="preserve"> Calculations!A60</f>
        <v>Sacramento Kings</v>
      </c>
      <c r="B29" s="53">
        <f>Calculations!F60</f>
        <v>23.75</v>
      </c>
      <c r="C29" s="7">
        <f>Calculations!G60</f>
        <v>27</v>
      </c>
      <c r="D29" s="7">
        <f>Calculations!E60</f>
        <v>26</v>
      </c>
    </row>
    <row r="30" spans="1:4" x14ac:dyDescent="0.2">
      <c r="A30" s="7" t="str">
        <f xml:space="preserve"> Calculations!A53</f>
        <v>New Orleans Pelicans</v>
      </c>
      <c r="B30" s="53">
        <f>Calculations!F53</f>
        <v>24.199999999999996</v>
      </c>
      <c r="C30" s="7">
        <f>Calculations!G53</f>
        <v>29</v>
      </c>
      <c r="D30" s="7">
        <f>Calculations!E53</f>
        <v>23</v>
      </c>
    </row>
    <row r="31" spans="1:4" x14ac:dyDescent="0.2">
      <c r="A31" s="7" t="str">
        <f xml:space="preserve"> Calculations!A64</f>
        <v>Washington Wizards</v>
      </c>
      <c r="B31" s="53">
        <f>Calculations!F64</f>
        <v>24.3</v>
      </c>
      <c r="C31" s="7">
        <f>Calculations!G64</f>
        <v>30</v>
      </c>
      <c r="D31" s="7">
        <f>Calculations!E64</f>
        <v>30</v>
      </c>
    </row>
  </sheetData>
  <sortState xmlns:xlrd2="http://schemas.microsoft.com/office/spreadsheetml/2017/richdata2" ref="A2:D31">
    <sortCondition ref="C2:C31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C13F-DBEF-EF4B-9E5B-CFB47FE9FFA8}">
  <sheetPr>
    <tabColor rgb="FF1F4E79"/>
  </sheetPr>
  <dimension ref="A1:T12"/>
  <sheetViews>
    <sheetView zoomScale="75" zoomScaleNormal="150" workbookViewId="0">
      <selection activeCell="C10" sqref="C10"/>
    </sheetView>
  </sheetViews>
  <sheetFormatPr baseColWidth="10" defaultRowHeight="15" x14ac:dyDescent="0.2"/>
  <cols>
    <col min="1" max="1" width="15" style="3" customWidth="1"/>
    <col min="2" max="2" width="10.83203125" style="3"/>
    <col min="3" max="3" width="15.1640625" style="3" customWidth="1"/>
    <col min="4" max="5" width="10.83203125" style="3"/>
    <col min="6" max="6" width="31.6640625" style="3" customWidth="1"/>
    <col min="7" max="10" width="10.83203125" style="3"/>
    <col min="11" max="11" width="19.5" style="3" customWidth="1"/>
    <col min="12" max="12" width="10.83203125" style="3"/>
    <col min="13" max="13" width="12.5" style="3" customWidth="1"/>
    <col min="14" max="14" width="33.33203125" style="3" customWidth="1"/>
    <col min="15" max="16384" width="10.83203125" style="3"/>
  </cols>
  <sheetData>
    <row r="1" spans="1:20" ht="21" x14ac:dyDescent="0.25">
      <c r="A1" s="60" t="s">
        <v>79</v>
      </c>
      <c r="B1" s="60"/>
      <c r="C1" s="60"/>
      <c r="D1" s="60"/>
      <c r="E1" s="60"/>
      <c r="F1" s="60"/>
    </row>
    <row r="2" spans="1:20" x14ac:dyDescent="0.2">
      <c r="B2" s="43" t="s">
        <v>73</v>
      </c>
      <c r="C2" s="44"/>
      <c r="D2" s="45"/>
      <c r="F2" s="43" t="s">
        <v>74</v>
      </c>
      <c r="G2" s="44"/>
      <c r="H2" s="45"/>
      <c r="J2" s="43" t="s">
        <v>75</v>
      </c>
      <c r="K2" s="44"/>
      <c r="L2" s="45"/>
      <c r="N2" s="43" t="s">
        <v>76</v>
      </c>
      <c r="O2" s="44"/>
      <c r="P2" s="45"/>
      <c r="R2" s="46" t="s">
        <v>77</v>
      </c>
      <c r="S2" s="46"/>
      <c r="T2" s="46"/>
    </row>
    <row r="3" spans="1:20" x14ac:dyDescent="0.2">
      <c r="B3" s="28" t="str">
        <f>Rankings!A2</f>
        <v>Los Angeles Lakers</v>
      </c>
      <c r="C3" s="29"/>
      <c r="D3" s="30"/>
      <c r="F3" s="28" t="str">
        <f>INDEX(Calculations!$A$35:$A$64,MATCH(1,Calculations!$C$35:$C$64,0))</f>
        <v>Oklahoma City Thunder</v>
      </c>
      <c r="G3" s="29"/>
      <c r="H3" s="30"/>
      <c r="J3" s="28" t="str">
        <f>INDEX(Calculations!$A$35:$A$64,MATCH(1,Calculations!$D$35:$D$64,0))</f>
        <v>Golden State Warriors</v>
      </c>
      <c r="K3" s="29"/>
      <c r="L3" s="30"/>
      <c r="N3" s="28" t="str">
        <f>INDEX(Calculations!$A$2:$A$31,MATCH(MAX(Calculations!$E$2:$E$31),Calculations!$E$2:$E$31,0))</f>
        <v>Oklahoma City Thunder</v>
      </c>
      <c r="O3" s="29"/>
      <c r="P3" s="30"/>
      <c r="R3" s="37">
        <f>AVERAGE(nba_team_financials!$B$3:$B$32)/1000000</f>
        <v>197.90667206666666</v>
      </c>
      <c r="S3" s="38"/>
      <c r="T3" s="39"/>
    </row>
    <row r="4" spans="1:20" x14ac:dyDescent="0.2">
      <c r="B4" s="31"/>
      <c r="C4" s="32"/>
      <c r="D4" s="33"/>
      <c r="F4" s="31"/>
      <c r="G4" s="32"/>
      <c r="H4" s="33"/>
      <c r="J4" s="31"/>
      <c r="K4" s="32"/>
      <c r="L4" s="33"/>
      <c r="N4" s="31"/>
      <c r="O4" s="32"/>
      <c r="P4" s="33"/>
      <c r="R4" s="40"/>
      <c r="S4" s="41"/>
      <c r="T4" s="42"/>
    </row>
    <row r="5" spans="1:20" x14ac:dyDescent="0.2">
      <c r="N5" s="34">
        <f>MAX(Calculations!$E$2:$E$31)</f>
        <v>0.78</v>
      </c>
      <c r="O5" s="35"/>
      <c r="P5" s="36"/>
    </row>
    <row r="6" spans="1:20" x14ac:dyDescent="0.2">
      <c r="B6" s="25" t="s">
        <v>81</v>
      </c>
      <c r="C6" s="25"/>
      <c r="D6" s="25"/>
      <c r="E6" s="25"/>
      <c r="J6" s="25" t="s">
        <v>82</v>
      </c>
      <c r="K6" s="25"/>
      <c r="L6" s="25"/>
      <c r="M6" s="25"/>
    </row>
    <row r="7" spans="1:20" x14ac:dyDescent="0.2">
      <c r="B7" s="47" t="s">
        <v>80</v>
      </c>
      <c r="C7" s="47" t="s">
        <v>1</v>
      </c>
      <c r="D7" s="47" t="s">
        <v>58</v>
      </c>
      <c r="E7" s="47" t="s">
        <v>62</v>
      </c>
      <c r="F7" s="47" t="s">
        <v>83</v>
      </c>
      <c r="J7" s="47" t="s">
        <v>80</v>
      </c>
      <c r="K7" s="47" t="s">
        <v>1</v>
      </c>
      <c r="L7" s="47" t="s">
        <v>58</v>
      </c>
      <c r="M7" s="47" t="s">
        <v>62</v>
      </c>
      <c r="N7" s="47" t="s">
        <v>84</v>
      </c>
    </row>
    <row r="8" spans="1:20" ht="16" x14ac:dyDescent="0.2">
      <c r="B8" s="3">
        <v>1</v>
      </c>
      <c r="C8" s="3" t="str">
        <f>Rankings!A2</f>
        <v>Los Angeles Lakers</v>
      </c>
      <c r="D8" s="3">
        <f>Rankings!B2</f>
        <v>7.1999999999999993</v>
      </c>
      <c r="E8" s="3">
        <f>Rankings!D2</f>
        <v>6</v>
      </c>
      <c r="F8" s="26" t="s">
        <v>85</v>
      </c>
      <c r="J8" s="3">
        <v>26</v>
      </c>
      <c r="K8" s="3" t="str">
        <f>Rankings!A27</f>
        <v>Minnesota Timberwolves</v>
      </c>
      <c r="L8" s="3">
        <f>Rankings!B27</f>
        <v>20.65</v>
      </c>
      <c r="M8" s="3">
        <f>Rankings!D27</f>
        <v>10</v>
      </c>
      <c r="N8" s="27" t="s">
        <v>90</v>
      </c>
    </row>
    <row r="9" spans="1:20" x14ac:dyDescent="0.2">
      <c r="B9" s="3">
        <v>2</v>
      </c>
      <c r="C9" s="3" t="str">
        <f>Rankings!A3</f>
        <v>New York Knicks</v>
      </c>
      <c r="D9" s="3">
        <f>Rankings!B3</f>
        <v>7.65</v>
      </c>
      <c r="E9" s="3">
        <f>Rankings!D3</f>
        <v>6</v>
      </c>
      <c r="F9" s="27" t="s">
        <v>86</v>
      </c>
      <c r="J9" s="3">
        <v>27</v>
      </c>
      <c r="K9" s="3" t="str">
        <f>Rankings!A28</f>
        <v>Indiana Pacers</v>
      </c>
      <c r="L9" s="3">
        <f>Rankings!B28</f>
        <v>23.75</v>
      </c>
      <c r="M9" s="3">
        <f>Rankings!D28</f>
        <v>29</v>
      </c>
      <c r="N9" s="27" t="s">
        <v>91</v>
      </c>
    </row>
    <row r="10" spans="1:20" x14ac:dyDescent="0.2">
      <c r="B10" s="3">
        <v>3</v>
      </c>
      <c r="C10" s="3" t="str">
        <f>Rankings!A4</f>
        <v>Boston Celtics</v>
      </c>
      <c r="D10" s="3">
        <f>Rankings!B4</f>
        <v>8.0499999999999989</v>
      </c>
      <c r="E10" s="3">
        <f>Rankings!D4</f>
        <v>4</v>
      </c>
      <c r="F10" s="27" t="s">
        <v>87</v>
      </c>
      <c r="J10" s="3">
        <v>27</v>
      </c>
      <c r="K10" s="3" t="str">
        <f>Rankings!A29</f>
        <v>Sacramento Kings</v>
      </c>
      <c r="L10" s="3">
        <f>Rankings!B29</f>
        <v>23.75</v>
      </c>
      <c r="M10" s="3">
        <f>Rankings!D29</f>
        <v>26</v>
      </c>
      <c r="N10" s="27" t="s">
        <v>92</v>
      </c>
    </row>
    <row r="11" spans="1:20" x14ac:dyDescent="0.2">
      <c r="B11" s="3">
        <v>4</v>
      </c>
      <c r="C11" s="3" t="str">
        <f>Rankings!A5</f>
        <v>San Antonio Spurs</v>
      </c>
      <c r="D11" s="3">
        <f>Rankings!B5</f>
        <v>8.8999999999999986</v>
      </c>
      <c r="E11" s="3">
        <f>Rankings!D5</f>
        <v>2</v>
      </c>
      <c r="F11" s="27" t="s">
        <v>88</v>
      </c>
      <c r="J11" s="3">
        <v>29</v>
      </c>
      <c r="K11" s="3" t="str">
        <f>Rankings!A30</f>
        <v>New Orleans Pelicans</v>
      </c>
      <c r="L11" s="3">
        <f>Rankings!B30</f>
        <v>24.199999999999996</v>
      </c>
      <c r="M11" s="3">
        <f>Rankings!D30</f>
        <v>23</v>
      </c>
      <c r="N11" s="27" t="s">
        <v>93</v>
      </c>
    </row>
    <row r="12" spans="1:20" x14ac:dyDescent="0.2">
      <c r="B12" s="3">
        <v>5</v>
      </c>
      <c r="C12" s="3" t="str">
        <f>Rankings!A6</f>
        <v>Houston Rockets</v>
      </c>
      <c r="D12" s="3">
        <f>Rankings!B6</f>
        <v>9.35</v>
      </c>
      <c r="E12" s="3">
        <f>Rankings!D6</f>
        <v>8</v>
      </c>
      <c r="F12" s="27" t="s">
        <v>89</v>
      </c>
      <c r="J12" s="3">
        <v>30</v>
      </c>
      <c r="K12" s="3" t="str">
        <f>Rankings!A31</f>
        <v>Washington Wizards</v>
      </c>
      <c r="L12" s="3">
        <f>Rankings!B31</f>
        <v>24.3</v>
      </c>
      <c r="M12" s="3">
        <f>Rankings!D31</f>
        <v>30</v>
      </c>
      <c r="N12" s="27" t="s">
        <v>94</v>
      </c>
    </row>
  </sheetData>
  <mergeCells count="14">
    <mergeCell ref="A1:F1"/>
    <mergeCell ref="N2:P2"/>
    <mergeCell ref="N3:P4"/>
    <mergeCell ref="N5:P5"/>
    <mergeCell ref="R2:T2"/>
    <mergeCell ref="R3:T4"/>
    <mergeCell ref="B6:E6"/>
    <mergeCell ref="J6:M6"/>
    <mergeCell ref="B2:D2"/>
    <mergeCell ref="B3:D4"/>
    <mergeCell ref="F2:H2"/>
    <mergeCell ref="F3:H4"/>
    <mergeCell ref="J2:L2"/>
    <mergeCell ref="J3:L4"/>
  </mergeCells>
  <pageMargins left="0.7" right="0.7" top="0.75" bottom="0.75" header="0.3" footer="0.3"/>
  <pageSetup orientation="portrait" horizontalDpi="0" verticalDpi="0"/>
  <headerFooter>
    <oddHeader xml:space="preserve">&amp;LNBA Financial &amp; Performance Analysis (2025-26 Season)
</oddHeader>
  </headerFooter>
  <drawing r:id="rId1"/>
</worksheet>
</file>

<file path=docMetadata/LabelInfo.xml><?xml version="1.0" encoding="utf-8"?>
<clbl:labelList xmlns:clbl="http://schemas.microsoft.com/office/2020/mipLabelMetadata">
  <clbl:label id="{6f60f0b3-5f06-4e09-9715-989dba8cc7d8}" enabled="0" method="" siteId="{6f60f0b3-5f06-4e09-9715-989dba8cc7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nba_team_financials</vt:lpstr>
      <vt:lpstr>Calculations</vt:lpstr>
      <vt:lpstr>Rankings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Antwan Charlton Kiffin</dc:creator>
  <cp:lastModifiedBy>Antwan Charlton Kiffin</cp:lastModifiedBy>
  <dcterms:created xsi:type="dcterms:W3CDTF">2026-08-09T02:40:28Z</dcterms:created>
  <dcterms:modified xsi:type="dcterms:W3CDTF">2026-08-15T00:08:14Z</dcterms:modified>
</cp:coreProperties>
</file>